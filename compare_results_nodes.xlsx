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lle\OneDrive\Documents\CIC\Tesis\graficas\"/>
    </mc:Choice>
  </mc:AlternateContent>
  <xr:revisionPtr revIDLastSave="0" documentId="13_ncr:1_{1D96B00E-B1EC-471D-B301-0944BDAF81F3}" xr6:coauthVersionLast="47" xr6:coauthVersionMax="47" xr10:uidLastSave="{00000000-0000-0000-0000-000000000000}"/>
  <bookViews>
    <workbookView xWindow="-120" yWindow="-120" windowWidth="29040" windowHeight="15720" firstSheet="1" activeTab="10" xr2:uid="{D65B6D81-33C6-46CB-ACDB-0F8DE9CD1457}"/>
  </bookViews>
  <sheets>
    <sheet name="compare_results_1_nodes" sheetId="1" r:id="rId1"/>
    <sheet name="comparaciones" sheetId="2" r:id="rId2"/>
    <sheet name="compare_nodes" sheetId="3" r:id="rId3"/>
    <sheet name="compare_times" sheetId="4" r:id="rId4"/>
    <sheet name="compare_solutions" sheetId="5" r:id="rId5"/>
    <sheet name="Sheet1" sheetId="6" r:id="rId6"/>
    <sheet name="fortimes" sheetId="7" r:id="rId7"/>
    <sheet name="timegreedy" sheetId="8" r:id="rId8"/>
    <sheet name="time1" sheetId="9" r:id="rId9"/>
    <sheet name="time2" sheetId="10" r:id="rId10"/>
    <sheet name="time3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2" l="1"/>
  <c r="G2" i="2"/>
  <c r="G5" i="2"/>
  <c r="G3" i="2"/>
  <c r="G4" i="2"/>
  <c r="G6" i="2"/>
  <c r="G7" i="2"/>
  <c r="I2" i="2"/>
  <c r="H2" i="2"/>
  <c r="I13" i="2"/>
  <c r="I14" i="2"/>
  <c r="I15" i="2"/>
  <c r="I16" i="2"/>
  <c r="I17" i="2"/>
  <c r="I18" i="2"/>
  <c r="J3" i="2"/>
  <c r="J4" i="2"/>
  <c r="J5" i="2"/>
  <c r="J6" i="2"/>
  <c r="J7" i="2"/>
  <c r="J2" i="2"/>
  <c r="C3" i="2"/>
  <c r="G18" i="2"/>
  <c r="G17" i="2"/>
  <c r="G16" i="2"/>
  <c r="G15" i="2"/>
  <c r="G14" i="2"/>
  <c r="G13" i="2"/>
  <c r="F17" i="2"/>
  <c r="F16" i="2"/>
  <c r="F15" i="2"/>
  <c r="F14" i="2"/>
  <c r="F13" i="2"/>
  <c r="D13" i="2"/>
  <c r="D14" i="2"/>
  <c r="D15" i="2"/>
  <c r="D16" i="2"/>
  <c r="D17" i="2"/>
  <c r="D18" i="2"/>
  <c r="E2" i="2"/>
  <c r="E3" i="2"/>
  <c r="E4" i="2"/>
  <c r="E5" i="2"/>
  <c r="E6" i="2"/>
  <c r="E7" i="2"/>
  <c r="D2" i="2"/>
  <c r="D3" i="2"/>
  <c r="D4" i="2"/>
  <c r="D5" i="2"/>
  <c r="D6" i="2"/>
  <c r="D7" i="2"/>
  <c r="C2" i="2"/>
  <c r="H13" i="2"/>
  <c r="H14" i="2"/>
  <c r="H15" i="2"/>
  <c r="H16" i="2"/>
  <c r="H17" i="2"/>
  <c r="H18" i="2"/>
  <c r="E13" i="2"/>
  <c r="E14" i="2"/>
  <c r="E15" i="2"/>
  <c r="E16" i="2"/>
  <c r="E17" i="2"/>
  <c r="E18" i="2"/>
  <c r="C13" i="2"/>
  <c r="C14" i="2"/>
  <c r="C15" i="2"/>
  <c r="C16" i="2"/>
  <c r="C17" i="2"/>
  <c r="C18" i="2"/>
  <c r="B13" i="2"/>
  <c r="B14" i="2"/>
  <c r="B15" i="2"/>
  <c r="B16" i="2"/>
  <c r="B17" i="2"/>
  <c r="B18" i="2"/>
  <c r="F2" i="2"/>
  <c r="F3" i="2"/>
  <c r="F4" i="2"/>
  <c r="F5" i="2"/>
  <c r="F6" i="2"/>
  <c r="F7" i="2"/>
  <c r="C4" i="2"/>
  <c r="C5" i="2"/>
  <c r="C6" i="2"/>
  <c r="C7" i="2"/>
  <c r="B3" i="2"/>
  <c r="B4" i="2"/>
  <c r="B5" i="2"/>
  <c r="B6" i="2"/>
  <c r="B7" i="2"/>
  <c r="B2" i="2"/>
  <c r="H6" i="2" l="1"/>
  <c r="H5" i="2"/>
  <c r="I3" i="2"/>
  <c r="H3" i="2"/>
  <c r="H4" i="2"/>
  <c r="I7" i="2"/>
  <c r="I6" i="2"/>
  <c r="H7" i="2"/>
  <c r="I5" i="2"/>
  <c r="I4" i="2"/>
</calcChain>
</file>

<file path=xl/sharedStrings.xml><?xml version="1.0" encoding="utf-8"?>
<sst xmlns="http://schemas.openxmlformats.org/spreadsheetml/2006/main" count="732" uniqueCount="283">
  <si>
    <t>experiment</t>
  </si>
  <si>
    <t>duration_dp</t>
  </si>
  <si>
    <t>solution_dp</t>
  </si>
  <si>
    <t>optimal_dp</t>
  </si>
  <si>
    <t>duration_iqcp</t>
  </si>
  <si>
    <t>solution_iqcp</t>
  </si>
  <si>
    <t>optimal_iqcp</t>
  </si>
  <si>
    <t>duration_miqcp</t>
  </si>
  <si>
    <t>solution_miqcp</t>
  </si>
  <si>
    <t>optimal_miqcp</t>
  </si>
  <si>
    <t>duration_greedy</t>
  </si>
  <si>
    <t>solution_greedy</t>
  </si>
  <si>
    <t>optimal_greedy</t>
  </si>
  <si>
    <t>n_nodes</t>
  </si>
  <si>
    <t>[-1, 2, 3]</t>
  </si>
  <si>
    <t>[-1, 2, 23, 19, 21]</t>
  </si>
  <si>
    <t>[-1, 14, 3, 1, 15, 4, 18, 24, 16, 6]</t>
  </si>
  <si>
    <t>[23, 2, 21, 19]</t>
  </si>
  <si>
    <t>[-1, 18, 19, 21]</t>
  </si>
  <si>
    <t>[-1, 18, 21, 19]</t>
  </si>
  <si>
    <t>[-1, 1, 6]</t>
  </si>
  <si>
    <t>[18, 21, 19]</t>
  </si>
  <si>
    <t>[-1, 10]</t>
  </si>
  <si>
    <t>[10]</t>
  </si>
  <si>
    <t>[-1, 11, 5, 2, 4]</t>
  </si>
  <si>
    <t>[-1, 11, 5, 2, 4, 22, 9, 18, 12, 8, 21]</t>
  </si>
  <si>
    <t>[-1, 1, 21]</t>
  </si>
  <si>
    <t>[1, 16, 23]</t>
  </si>
  <si>
    <t>[-1, 8]</t>
  </si>
  <si>
    <t>[-1, 8, 24, 21, 20]</t>
  </si>
  <si>
    <t>[8]</t>
  </si>
  <si>
    <t>[-1, 0, 2, 17]</t>
  </si>
  <si>
    <t>[0, 2, 17]</t>
  </si>
  <si>
    <t>[-1, 1, 10, 4, 9, 8]</t>
  </si>
  <si>
    <t>[-1, 7, 10, 8, 9]</t>
  </si>
  <si>
    <t>[-1, 7, 10, 4, 8]</t>
  </si>
  <si>
    <t>[-1, 7, 24]</t>
  </si>
  <si>
    <t>[7, 10, 8, 9]</t>
  </si>
  <si>
    <t>[-1, 4, 9, 6, 11, 22]</t>
  </si>
  <si>
    <t>[-1, 4, 17, 13]</t>
  </si>
  <si>
    <t>[4, 17, 13]</t>
  </si>
  <si>
    <t>[-1, 6, 0, 1, 22, 10, 18, 8, 9]</t>
  </si>
  <si>
    <t>[-1, 6, 24, 15, 23]</t>
  </si>
  <si>
    <t>[-1, 6, 24, 23, 15]</t>
  </si>
  <si>
    <t>[6, 24, 15, 23]</t>
  </si>
  <si>
    <t>[-1, 15, 12, 11, 22]</t>
  </si>
  <si>
    <t>[-1, 15, 13, 5, 17]</t>
  </si>
  <si>
    <t>[-1, 13, 14, 3]</t>
  </si>
  <si>
    <t>[15, 12, 11, 22]</t>
  </si>
  <si>
    <t>[-1, 38, 26, 11, 15, 7, 8]</t>
  </si>
  <si>
    <t>[-1, 38, 26, 11, 15, 8, 7]</t>
  </si>
  <si>
    <t>[-1, 38, 32, 33, 8, 7]</t>
  </si>
  <si>
    <t>[-1, 26, 35, 4]</t>
  </si>
  <si>
    <t>[38, 32, 33, 8, 7]</t>
  </si>
  <si>
    <t>[-1, 34]</t>
  </si>
  <si>
    <t>[34]</t>
  </si>
  <si>
    <t>[-1, 24, 7]</t>
  </si>
  <si>
    <t>[7, 24]</t>
  </si>
  <si>
    <t>[-1, 13, 6, 12]</t>
  </si>
  <si>
    <t>[-1, 13, 12, 6]</t>
  </si>
  <si>
    <t>[13, 6, 12]</t>
  </si>
  <si>
    <t>[-1, 28, 7, 13]</t>
  </si>
  <si>
    <t>[28, 13, 7]</t>
  </si>
  <si>
    <t>[-1, 3, 35, 28, 14]</t>
  </si>
  <si>
    <t>[-1, 28, 3, 35, 14]</t>
  </si>
  <si>
    <t>[-1, 28, 35, 3, 14]</t>
  </si>
  <si>
    <t>[-1, 28, 13]</t>
  </si>
  <si>
    <t>[0, 16, 10, 23, 33]</t>
  </si>
  <si>
    <t>[-1, 1, 33, 35, 2]</t>
  </si>
  <si>
    <t>[-1, 1, 35, 33, 2]</t>
  </si>
  <si>
    <t>[-1, 33, 29]</t>
  </si>
  <si>
    <t>[29, 33]</t>
  </si>
  <si>
    <t>[-1, 12, 9, 4, 23, 33]</t>
  </si>
  <si>
    <t>[-1, 12, 9, 4, 33, 23]</t>
  </si>
  <si>
    <t>[12, 37, 16]</t>
  </si>
  <si>
    <t>[-1, 3, 33, 15, 32]</t>
  </si>
  <si>
    <t>[-1, 27, 3]</t>
  </si>
  <si>
    <t>[27, 33, 4]</t>
  </si>
  <si>
    <t>[-1, 2, 9]</t>
  </si>
  <si>
    <t>[9, 2]</t>
  </si>
  <si>
    <t>[-1, 2, 6, 36]</t>
  </si>
  <si>
    <t>[2, 6, 36]</t>
  </si>
  <si>
    <t>[-1, 20, 49, 8]</t>
  </si>
  <si>
    <t>[-1, 8, 20]</t>
  </si>
  <si>
    <t>[20, 49, 8]</t>
  </si>
  <si>
    <t>[-1, 22, 35, 34, 6]</t>
  </si>
  <si>
    <t>[-1, 22, 35, 44, 4]</t>
  </si>
  <si>
    <t>[-1, 22, 34, 6]</t>
  </si>
  <si>
    <t>[35, 22, 4, 6]</t>
  </si>
  <si>
    <t>[-1, 5, 6, 25, 21, 37, 40]</t>
  </si>
  <si>
    <t>[-1, 5, 6, 25, 21, 40, 37]</t>
  </si>
  <si>
    <t>[-1, 5, 21, 25, 37, 40]</t>
  </si>
  <si>
    <t>[6, 11, 10, 14, 43]</t>
  </si>
  <si>
    <t>[-1, 16, 1, 8, 35]</t>
  </si>
  <si>
    <t>[-1, 1, 8, 4, 40, 38, 11]</t>
  </si>
  <si>
    <t>[-1, 8, 35]</t>
  </si>
  <si>
    <t>[1, 8, 35]</t>
  </si>
  <si>
    <t>[-1, 12, 36, 26]</t>
  </si>
  <si>
    <t>[-1, 12, 26]</t>
  </si>
  <si>
    <t>[12, 36, 26]</t>
  </si>
  <si>
    <t>[-1, 19, 1]</t>
  </si>
  <si>
    <t>[19, 1]</t>
  </si>
  <si>
    <t>[-1, 1, 14, 11, 2]</t>
  </si>
  <si>
    <t>[-1, 1, 2, 14]</t>
  </si>
  <si>
    <t>[1, 11, 2, 35]</t>
  </si>
  <si>
    <t>[-1, 32, 6, 35]</t>
  </si>
  <si>
    <t>[-1, 32, 35, 6]</t>
  </si>
  <si>
    <t>[32, 35, 6]</t>
  </si>
  <si>
    <t>[-1, 8, 48, 38]</t>
  </si>
  <si>
    <t>[8, 48, 38]</t>
  </si>
  <si>
    <t>[-1, 73, 6]</t>
  </si>
  <si>
    <t>[73, 6]</t>
  </si>
  <si>
    <t>[-1, 5, 12]</t>
  </si>
  <si>
    <t>[5, 12]</t>
  </si>
  <si>
    <t>[-1, 68, 30, 53]</t>
  </si>
  <si>
    <t>[-1, 68, 53]</t>
  </si>
  <si>
    <t>[68, 30, 53]</t>
  </si>
  <si>
    <t>[-1, 56, 45, 73]</t>
  </si>
  <si>
    <t>[-1, 73, 56, 45]</t>
  </si>
  <si>
    <t>[73, 56, 45]</t>
  </si>
  <si>
    <t>[-1, 52, 12]</t>
  </si>
  <si>
    <t>[52, 12]</t>
  </si>
  <si>
    <t>[-1, 54, 40, 29, 21, 25, 27, 58]</t>
  </si>
  <si>
    <t>[-1, 29, 67, 70, 45]</t>
  </si>
  <si>
    <t>[54, 29, 25, 21, 58, 27]</t>
  </si>
  <si>
    <t>[-1, 5, 63, 50, 29]</t>
  </si>
  <si>
    <t>[-1, 5, 29]</t>
  </si>
  <si>
    <t>[50, 63, 5, 29]</t>
  </si>
  <si>
    <t>[-1, 44, 2, 7]</t>
  </si>
  <si>
    <t>[-1, 2, 7]</t>
  </si>
  <si>
    <t>[50, 44, 0, 11, 38, 65, 34, 62, 72, 9, 56, 51, 8, 20, 22, 1, 43]</t>
  </si>
  <si>
    <t>[-1, 42, 38, 63, 31, 33]</t>
  </si>
  <si>
    <t>[-1, 42, 63, 33, 31, 46]</t>
  </si>
  <si>
    <t>[42, 0, 38, 33, 36, 26]</t>
  </si>
  <si>
    <t>[-1, 69, 73, 3, 60, 14, 30]</t>
  </si>
  <si>
    <t>[-1, 73, 3, 6, 58, 72, 1]</t>
  </si>
  <si>
    <t>[69, 0, 46, 65, 38, 54, 47, 66, 1, 72, 58]</t>
  </si>
  <si>
    <t>[-1, 58, 29, 38]</t>
  </si>
  <si>
    <t>[-1, 38]</t>
  </si>
  <si>
    <t>[58, 29, 38]</t>
  </si>
  <si>
    <t>[-1, 46, 10]</t>
  </si>
  <si>
    <t>[42, 62, 70, 18]</t>
  </si>
  <si>
    <t>[-1, 12, 68, 98, 35]</t>
  </si>
  <si>
    <t>[-1, 68, 12, 98, 93]</t>
  </si>
  <si>
    <t>[12, 68, 98, 35]</t>
  </si>
  <si>
    <t>[-1, 3, 22, 16]</t>
  </si>
  <si>
    <t>[-1, 22, 16, 62]</t>
  </si>
  <si>
    <t>[3, 22, 16]</t>
  </si>
  <si>
    <t>[-1, 15, 94]</t>
  </si>
  <si>
    <t>[-1, 15, 35]</t>
  </si>
  <si>
    <t>[35, 94, 15]</t>
  </si>
  <si>
    <t>[-1, 53, 54, 49]</t>
  </si>
  <si>
    <t>[-1, 53, 49, 98, 86]</t>
  </si>
  <si>
    <t>[47, 24, 6, 62, 98, 86]</t>
  </si>
  <si>
    <t>[-1, 0, 54, 92, 16]</t>
  </si>
  <si>
    <t>[-1, 0, 16, 63, 7]</t>
  </si>
  <si>
    <t>[0, 54, 92, 16]</t>
  </si>
  <si>
    <t>[-1, 74, 62, 17, 43]</t>
  </si>
  <si>
    <t>[-1, 6, 41, 81]</t>
  </si>
  <si>
    <t>[74, 17, 62, 43]</t>
  </si>
  <si>
    <t>[-1, 99, 86, 47]</t>
  </si>
  <si>
    <t>[-1, 86, 47, 72]</t>
  </si>
  <si>
    <t>[99, 86, 47]</t>
  </si>
  <si>
    <t>[-1, 94, 7, 84, 98]</t>
  </si>
  <si>
    <t>[94, 7, 84, 98]</t>
  </si>
  <si>
    <t>[-1, 15, 0, 7, 13]</t>
  </si>
  <si>
    <t>[-1, 15, 0, 11, 12, 13]</t>
  </si>
  <si>
    <t>[-1, 15, 11, 0, 13, 12, 1, 6]</t>
  </si>
  <si>
    <t>[-1, 15, 7, 13]</t>
  </si>
  <si>
    <t>[0, 19, 5]</t>
  </si>
  <si>
    <t>[-1, 6, 3, 1, 8, 4, 2]</t>
  </si>
  <si>
    <t>[-1, 6, 3, 8, 1, 9]</t>
  </si>
  <si>
    <t>[-1, 6, 3, 19, 12, 17]</t>
  </si>
  <si>
    <t>[-1, 6, 19, 12, 17]</t>
  </si>
  <si>
    <t>[6, 3, 19, 12, 17]</t>
  </si>
  <si>
    <t>[-1, 10, 2, 1]</t>
  </si>
  <si>
    <t>[-1, 10, 2, 1, 19, 5, 0, 4, 6, 13, 12]</t>
  </si>
  <si>
    <t>[-1, 10, 1]</t>
  </si>
  <si>
    <t>[10, 2, 1]</t>
  </si>
  <si>
    <t>[-1, 15, 4]</t>
  </si>
  <si>
    <t>[-1, 15, 4, 16, 11, 0]</t>
  </si>
  <si>
    <t>[15, 4]</t>
  </si>
  <si>
    <t>[-1, 17]</t>
  </si>
  <si>
    <t>[-1, 17, 16, 3, 5, 0, 1, 8, 10, 11, 15]</t>
  </si>
  <si>
    <t>[0, 9, 8, 15]</t>
  </si>
  <si>
    <t>[-1, 9, 13, 17, 3]</t>
  </si>
  <si>
    <t>[-1, 9, 13, 17, 3, 0, 5, 11, 4]</t>
  </si>
  <si>
    <t>[-1, 17, 3]</t>
  </si>
  <si>
    <t>[9, 13, 17, 0]</t>
  </si>
  <si>
    <t>[-1, 3, 0, 16, 17]</t>
  </si>
  <si>
    <t>[-1, 3, 14]</t>
  </si>
  <si>
    <t>[3, 0, 16, 17]</t>
  </si>
  <si>
    <t>[-1, 3, 6, 8, 5, 18]</t>
  </si>
  <si>
    <t>[-1, 3, 9, 12]</t>
  </si>
  <si>
    <t>[3, 8, 17]</t>
  </si>
  <si>
    <t>[-1, 13, 14, 4, 2, 9]</t>
  </si>
  <si>
    <t>[-1, 13, 14, 4, 2, 9, 3, 15, 0, 6, 16]</t>
  </si>
  <si>
    <t>[-1, 12]</t>
  </si>
  <si>
    <t>[12]</t>
  </si>
  <si>
    <t>[-1, 4, 1]</t>
  </si>
  <si>
    <t>[4, 1]</t>
  </si>
  <si>
    <t>time_taken k=1</t>
  </si>
  <si>
    <t>optimal_rollout k=1</t>
  </si>
  <si>
    <t>solution_rollout k=1</t>
  </si>
  <si>
    <t>diff_iqcp_rollout k=1</t>
  </si>
  <si>
    <t>diff_greedy_rollout k=1</t>
  </si>
  <si>
    <t>[3, 35, 28, 14]</t>
  </si>
  <si>
    <t>[1, 35, 33, 2]</t>
  </si>
  <si>
    <t>[22, 35, 44, 4]</t>
  </si>
  <si>
    <t>[5, 6, 25, 21, 37, 40]</t>
  </si>
  <si>
    <t>[16, 1, 8, 35]</t>
  </si>
  <si>
    <t>[50, 44, 53]</t>
  </si>
  <si>
    <t>[42, 63, 38, 31, 33]</t>
  </si>
  <si>
    <t>[69, 73, 8, 66, 54, 47, 1, 58, 72]</t>
  </si>
  <si>
    <t>[15, 11, 0, 13, 12]</t>
  </si>
  <si>
    <t>[17]</t>
  </si>
  <si>
    <t>[9, 13, 17, 3]</t>
  </si>
  <si>
    <t>[3, 14]</t>
  </si>
  <si>
    <t>solution_rollout k=2</t>
  </si>
  <si>
    <t>time_taken k=2</t>
  </si>
  <si>
    <t>optimal_rollout k=2</t>
  </si>
  <si>
    <t>diff_iqcp_rollout k=2</t>
  </si>
  <si>
    <t>diff_greedy_rollout k=2</t>
  </si>
  <si>
    <t>[14, 3, 1]</t>
  </si>
  <si>
    <t>[31, 7, 36, 5, 22]</t>
  </si>
  <si>
    <t>[1, 33, 35, 2]</t>
  </si>
  <si>
    <t>[3, 33, 15, 32]</t>
  </si>
  <si>
    <t>[35, 34, 44, 20, 46]</t>
  </si>
  <si>
    <t>[11, 6, 10, 14, 43]</t>
  </si>
  <si>
    <t>[16, 1, 8, 4, 38, 11]</t>
  </si>
  <si>
    <t>[1, 14, 11, 2]</t>
  </si>
  <si>
    <t>[54, 40, 29, 21, 25, 58, 27]</t>
  </si>
  <si>
    <t>[53, 54, 49]</t>
  </si>
  <si>
    <t>solution_rollout k=3</t>
  </si>
  <si>
    <t>time_taken k=3</t>
  </si>
  <si>
    <t>optimal_rollout k=3</t>
  </si>
  <si>
    <t>diff_iqcp_rollout k=3</t>
  </si>
  <si>
    <t>diff_greedy_rollout k=3</t>
  </si>
  <si>
    <t>Prom. Nodos salvados Rollout k=1</t>
  </si>
  <si>
    <t>Prom. Nodos salvados Rollout k=2</t>
  </si>
  <si>
    <t>Prom. Nodos salvados Rollout k=3</t>
  </si>
  <si>
    <t>Nodos</t>
  </si>
  <si>
    <t>Instancias</t>
  </si>
  <si>
    <t>Prom. Nodos salvados óptimo IQCP</t>
  </si>
  <si>
    <t>Prom. T-CPU MIQCP</t>
  </si>
  <si>
    <t>Prom. T-CPU IQCP</t>
  </si>
  <si>
    <t>Prom. T-CPU ILP</t>
  </si>
  <si>
    <t>Prom. T-CPU Rollout k=1</t>
  </si>
  <si>
    <t>Prom. T-CPU Rollout k=2</t>
  </si>
  <si>
    <t>Prom. T-CPU Rollout k=3</t>
  </si>
  <si>
    <t>duration_ilp</t>
  </si>
  <si>
    <t>solution_ilp</t>
  </si>
  <si>
    <t>optimal_ilp</t>
  </si>
  <si>
    <t>id</t>
  </si>
  <si>
    <t>duration_rollout k=1</t>
  </si>
  <si>
    <t>duration_rollout k=2</t>
  </si>
  <si>
    <t>duration_rollout k=3</t>
  </si>
  <si>
    <t>dp</t>
  </si>
  <si>
    <t>iqcp</t>
  </si>
  <si>
    <t>ilp</t>
  </si>
  <si>
    <t>miqcp</t>
  </si>
  <si>
    <t>greedy</t>
  </si>
  <si>
    <t>rollout k=1</t>
  </si>
  <si>
    <t>rollout k=2</t>
  </si>
  <si>
    <t>rollout k=3</t>
  </si>
  <si>
    <t>GAP Rollout k=1</t>
  </si>
  <si>
    <t>GAP Rollout k=2</t>
  </si>
  <si>
    <t>GAP Rollout k=3</t>
  </si>
  <si>
    <t>Greedy</t>
  </si>
  <si>
    <t>Prom. T-CPU Greedy</t>
  </si>
  <si>
    <t>ID</t>
  </si>
  <si>
    <t>Duración IQCP</t>
  </si>
  <si>
    <t>ÓPTIMO</t>
  </si>
  <si>
    <t>Rollout k=1</t>
  </si>
  <si>
    <t>Duración Rollout k=1</t>
  </si>
  <si>
    <t>Duración Rollout k=2</t>
  </si>
  <si>
    <t>Rollout k=2</t>
  </si>
  <si>
    <t>20</t>
  </si>
  <si>
    <t>25</t>
  </si>
  <si>
    <t>40</t>
  </si>
  <si>
    <t>50</t>
  </si>
  <si>
    <t>75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</si>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</sst>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0" fontId="0" fillId="33" borderId="0" xfId="0" applyFill="1"/>
    <xf numFmtId="2" fontId="0" fillId="0" borderId="0" xfId="0" applyNumberFormat="1"/>
    <xf numFmtId="0" fontId="0" fillId="34" borderId="10" xfId="0" applyFont="1" applyFill="1" applyBorder="1"/>
    <xf numFmtId="0" fontId="0" fillId="0" borderId="10" xfId="0" applyFont="1" applyBorder="1"/>
    <xf numFmtId="0" fontId="0" fillId="34" borderId="11" xfId="0" applyFont="1" applyFill="1" applyBorder="1"/>
    <xf numFmtId="0" fontId="0" fillId="0" borderId="11" xfId="0" applyFont="1" applyBorder="1"/>
    <xf numFmtId="0" fontId="0" fillId="33" borderId="12" xfId="0" applyFont="1" applyFill="1" applyBorder="1"/>
    <xf numFmtId="0" fontId="0" fillId="0" borderId="12" xfId="0" applyFont="1" applyBorder="1"/>
    <xf numFmtId="0" fontId="0" fillId="33" borderId="13" xfId="0" applyFont="1" applyFill="1" applyBorder="1"/>
    <xf numFmtId="0" fontId="0" fillId="0" borderId="13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5E15C2-B442-4983-BE4C-DEEC4B04AAB4}" name="Table2" displayName="Table2" ref="A1:AF61" totalsRowShown="0">
  <autoFilter ref="A1:AF61" xr:uid="{FC5E15C2-B442-4983-BE4C-DEEC4B04AAB4}"/>
  <sortState xmlns:xlrd2="http://schemas.microsoft.com/office/spreadsheetml/2017/richdata2" ref="A2:AF61">
    <sortCondition descending="1" ref="U1:U61"/>
  </sortState>
  <tableColumns count="32">
    <tableColumn id="1" xr3:uid="{610BFA9A-8298-43DD-AE5C-4A88659FE9F5}" name="experiment"/>
    <tableColumn id="2" xr3:uid="{A5ED8CAE-87B7-4DF1-9DA0-F40FB88C3D4D}" name="n_nodes"/>
    <tableColumn id="3" xr3:uid="{B31E7AE0-FB90-4F71-8ACF-D6B6CC11512B}" name="duration_dp"/>
    <tableColumn id="4" xr3:uid="{A5EB9965-50F1-4FB5-BE28-77364F2740F0}" name="solution_dp"/>
    <tableColumn id="5" xr3:uid="{08C7509D-FE74-44F4-9546-A625875FDCA4}" name="optimal_dp"/>
    <tableColumn id="6" xr3:uid="{E7AF1A32-93F1-48B5-830B-9C5BA4C37588}" name="duration_iqcp"/>
    <tableColumn id="7" xr3:uid="{15707156-D8D7-469D-9F13-FBA87AF7780B}" name="solution_iqcp"/>
    <tableColumn id="8" xr3:uid="{DB8CDAE7-955B-434B-B84D-B849C0178125}" name="optimal_iqcp"/>
    <tableColumn id="9" xr3:uid="{7F01D0BB-25E8-4E36-819C-746C76DC426B}" name="duration_ilp"/>
    <tableColumn id="10" xr3:uid="{A378C79A-7C84-433A-9B45-9B89BD76BE81}" name="solution_ilp"/>
    <tableColumn id="11" xr3:uid="{30976F16-053D-4E97-8EAF-315200E0B9C6}" name="optimal_ilp"/>
    <tableColumn id="12" xr3:uid="{0E4C6EF1-9CF0-4774-8C40-80705A4DAAA4}" name="duration_miqcp"/>
    <tableColumn id="13" xr3:uid="{6D1701D3-FA28-4531-846A-702FD25B7FF3}" name="solution_miqcp"/>
    <tableColumn id="14" xr3:uid="{EF7AF98C-FE98-4C0C-93A9-3EB6C735B923}" name="optimal_miqcp"/>
    <tableColumn id="15" xr3:uid="{B0CB8438-95F1-4169-81EA-D7D8B7E2A76E}" name="duration_greedy"/>
    <tableColumn id="16" xr3:uid="{5119D04A-5DD1-4E8B-B249-6936916D00D5}" name="solution_greedy"/>
    <tableColumn id="17" xr3:uid="{C1898795-DEDE-4C6D-9E7A-449B20E0759E}" name="optimal_greedy"/>
    <tableColumn id="18" xr3:uid="{6488D93C-C4B7-44BA-888B-3B4C7C9736F3}" name="solution_rollout k=1"/>
    <tableColumn id="19" xr3:uid="{D96D6B38-947F-4B39-9A1D-870D59D8EC66}" name="time_taken k=1"/>
    <tableColumn id="20" xr3:uid="{729796D9-8448-4ACC-8D5A-A358D9C596E4}" name="optimal_rollout k=1"/>
    <tableColumn id="21" xr3:uid="{8F8A7F55-74D9-43C8-9F75-0D30BEF3C536}" name="diff_iqcp_rollout k=1"/>
    <tableColumn id="22" xr3:uid="{770A2DDD-3B8B-4431-B127-328471843B0F}" name="diff_greedy_rollout k=1"/>
    <tableColumn id="23" xr3:uid="{12EFDB94-6FFE-4D2A-83DA-DBDFF5417D64}" name="solution_rollout k=2"/>
    <tableColumn id="24" xr3:uid="{017EB796-0AF2-45F8-85FC-3894759EA694}" name="time_taken k=2"/>
    <tableColumn id="25" xr3:uid="{DA10DB41-F11E-4264-A677-04B0B804EED5}" name="optimal_rollout k=2"/>
    <tableColumn id="26" xr3:uid="{465A261B-073F-4C31-9719-2532D3E46A46}" name="diff_iqcp_rollout k=2"/>
    <tableColumn id="27" xr3:uid="{D85EC873-6006-4943-8297-8EFBB3349E6A}" name="diff_greedy_rollout k=2"/>
    <tableColumn id="28" xr3:uid="{90E90AC7-8C62-43F8-A7D9-875C036F287A}" name="solution_rollout k=3"/>
    <tableColumn id="29" xr3:uid="{DD7CB84D-656F-4289-BBE1-0350E2FF2FB0}" name="time_taken k=3"/>
    <tableColumn id="30" xr3:uid="{83FE3CE8-8B6B-4511-A59F-383BD409C093}" name="optimal_rollout k=3"/>
    <tableColumn id="31" xr3:uid="{6A7B0E6E-9718-4A3D-A78E-98BDC6E1F26C}" name="diff_iqcp_rollout k=3"/>
    <tableColumn id="32" xr3:uid="{86D01747-4903-4B92-B16F-2F274EF55263}" name="diff_greedy_rollout k=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2C42B6-0730-401F-B565-376E56EC1620}" name="Table1" displayName="Table1" ref="A1:J7" totalsRowShown="0">
  <autoFilter ref="A1:J7" xr:uid="{162C42B6-0730-401F-B565-376E56EC1620}"/>
  <tableColumns count="10">
    <tableColumn id="1" xr3:uid="{0D76F608-937F-41D1-91E9-0EE1B38CFFB4}" name="Nodos"/>
    <tableColumn id="2" xr3:uid="{F36D6776-FA9A-482A-9103-7245C0E79EE8}" name="Instancias">
      <calculatedColumnFormula>COUNTIF(compare_results_1_nodes!B:B,comparaciones!A2)</calculatedColumnFormula>
    </tableColumn>
    <tableColumn id="3" xr3:uid="{DAAEB182-0D3C-45B3-BEBF-95F9F9EE4E4E}" name="Prom. Nodos salvados óptimo IQCP" dataDxfId="51">
      <calculatedColumnFormula>AVERAGEIF(Table2[n_nodes],Table1[[#This Row],[Nodos]],Table2[optimal_iqcp])</calculatedColumnFormula>
    </tableColumn>
    <tableColumn id="4" xr3:uid="{ACDA9EFF-3B26-4747-9816-E11EAB637C22}" name="Prom. Nodos salvados Rollout k=1" dataDxfId="50">
      <calculatedColumnFormula>AVERAGEIF(Table2[n_nodes],Table1[[#This Row],[Nodos]],Table2[optimal_rollout k=1])</calculatedColumnFormula>
    </tableColumn>
    <tableColumn id="5" xr3:uid="{98D79523-EFF5-4762-AAEA-6FEBCD801462}" name="Prom. Nodos salvados Rollout k=2" dataDxfId="49">
      <calculatedColumnFormula>AVERAGEIF(Table2[n_nodes],Table1[[#This Row],[Nodos]],Table2[optimal_rollout k=2])</calculatedColumnFormula>
    </tableColumn>
    <tableColumn id="6" xr3:uid="{EF4A4DDD-CBFD-4414-A3B3-9AABCC93DDE6}" name="Prom. Nodos salvados Rollout k=3" dataDxfId="48">
      <calculatedColumnFormula>AVERAGEIF(Table2[n_nodes],Table1[[#This Row],[Nodos]],Table2[optimal_rollout k=3])</calculatedColumnFormula>
    </tableColumn>
    <tableColumn id="7" xr3:uid="{C5442743-9291-4BEA-8DDB-8BEA32CEA7D0}" name="GAP Rollout k=1" dataDxfId="47">
      <calculatedColumnFormula>((Table1[[#This Row],[Prom. Nodos salvados óptimo IQCP]]-Table1[[#This Row],[Prom. Nodos salvados Rollout k=1]])/Table1[[#This Row],[Prom. Nodos salvados óptimo IQCP]])*100</calculatedColumnFormula>
    </tableColumn>
    <tableColumn id="8" xr3:uid="{F65166D3-BF5F-4B0B-9BA0-0F2A9C0FFB43}" name="GAP Rollout k=2" dataDxfId="46">
      <calculatedColumnFormula>((Table1[[#This Row],[Prom. Nodos salvados óptimo IQCP]]-Table1[[#This Row],[Prom. Nodos salvados Rollout k=2]])/Table1[[#This Row],[Prom. Nodos salvados óptimo IQCP]])*100</calculatedColumnFormula>
    </tableColumn>
    <tableColumn id="9" xr3:uid="{F8DBFB38-4A80-4A39-9E67-37DC9A309E50}" name="GAP Rollout k=3" dataDxfId="45">
      <calculatedColumnFormula>((Table1[[#This Row],[Prom. Nodos salvados óptimo IQCP]]-Table1[[#This Row],[Prom. Nodos salvados Rollout k=3]])/Table1[[#This Row],[Prom. Nodos salvados óptimo IQCP]])*100</calculatedColumnFormula>
    </tableColumn>
    <tableColumn id="10" xr3:uid="{4B9484E7-CE8D-4A10-985B-E3F90E5B79B8}" name="Greedy" dataDxfId="44">
      <calculatedColumnFormula>AVERAGEIF(Table2[n_nodes],Table1[[#This Row],[Nodos]],Table2[optimal_greedy])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F5BAA4-39EF-45E9-972D-524975488572}" name="Table3" displayName="Table3" ref="A12:I18" totalsRowShown="0">
  <autoFilter ref="A12:I18" xr:uid="{65F5BAA4-39EF-45E9-972D-524975488572}"/>
  <tableColumns count="9">
    <tableColumn id="1" xr3:uid="{C609702D-4566-4051-84BD-DD262F5DB361}" name="Nodos"/>
    <tableColumn id="2" xr3:uid="{D0690FC9-4208-48E7-B589-0202D203BD4C}" name="Instancias" dataDxfId="43">
      <calculatedColumnFormula>COUNTIF(Table2[n_nodes],Table3[[#This Row],[Nodos]])</calculatedColumnFormula>
    </tableColumn>
    <tableColumn id="3" xr3:uid="{7015213A-275D-4E0D-9A3B-65299EF55E20}" name="Prom. T-CPU MIQCP" dataDxfId="42">
      <calculatedColumnFormula>AVERAGEIF(Table2[n_nodes],Table3[[#This Row],[Nodos]],Table2[duration_miqcp])</calculatedColumnFormula>
    </tableColumn>
    <tableColumn id="4" xr3:uid="{7C651E0C-AF63-467E-86ED-2FD9B5F0E894}" name="Prom. T-CPU IQCP" dataDxfId="41">
      <calculatedColumnFormula>AVERAGEIF(Table2[n_nodes],Table3[[#This Row],[Nodos]],Table2[duration_iqcp])</calculatedColumnFormula>
    </tableColumn>
    <tableColumn id="5" xr3:uid="{4D7253B2-856C-4124-9351-A637A52BE61A}" name="Prom. T-CPU ILP" dataDxfId="40">
      <calculatedColumnFormula>AVERAGEIF(Table2[n_nodes],Table3[[#This Row],[Nodos]],Table2[duration_ilp])</calculatedColumnFormula>
    </tableColumn>
    <tableColumn id="6" xr3:uid="{DD701191-F57D-495C-96C3-33D794A6591D}" name="Prom. T-CPU Rollout k=1" dataDxfId="39">
      <calculatedColumnFormula>AVERAGEIF(Table2[n_nodes],Table3[[#This Row],[Nodos]],Table2[time_taken k=1])</calculatedColumnFormula>
    </tableColumn>
    <tableColumn id="7" xr3:uid="{DFE8E634-44A4-4852-8C0D-F1BA07BF8507}" name="Prom. T-CPU Rollout k=2" dataDxfId="38">
      <calculatedColumnFormula>AVERAGEIF(Table2[n_nodes],Table3[[#This Row],[Nodos]],Table2[time_taken k=2])</calculatedColumnFormula>
    </tableColumn>
    <tableColumn id="8" xr3:uid="{10B7E6E4-7C9B-4735-867F-BBE3CC112EA8}" name="Prom. T-CPU Rollout k=3" dataDxfId="37">
      <calculatedColumnFormula>AVERAGEIF(Table2[n_nodes],Table3[[#This Row],[Nodos]],Table2[time_taken k=3])</calculatedColumnFormula>
    </tableColumn>
    <tableColumn id="9" xr3:uid="{0FA07F6D-7F27-4D79-B873-ECC1770BC9E4}" name="Prom. T-CPU Greedy" dataDxfId="36">
      <calculatedColumnFormula>AVERAGEIF(Table2[n_nodes],Table3[[#This Row],[Nodos]],Table2[duration_greedy])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FE1921D-472A-4C33-B3B6-8C956A8152D8}" name="Table25" displayName="Table25" ref="A1:J61" totalsRowShown="0">
  <autoFilter ref="A1:J61" xr:uid="{FC5E15C2-B442-4983-BE4C-DEEC4B04AAB4}"/>
  <tableColumns count="10">
    <tableColumn id="1" xr3:uid="{F8B20332-E468-4CEE-82B6-F14A2F8FCA9D}" name="id"/>
    <tableColumn id="2" xr3:uid="{ACA4F139-84A6-4512-B6FC-DB4053F865C4}" name="n_nodes"/>
    <tableColumn id="5" xr3:uid="{376616C2-C864-4001-BD9E-6627E691F1CA}" name="dp"/>
    <tableColumn id="8" xr3:uid="{2BE52C17-3899-4787-9CA8-072AB58F88D4}" name="iqcp"/>
    <tableColumn id="11" xr3:uid="{D42E259B-27FF-4C05-A634-2F3A4AE38065}" name="ilp"/>
    <tableColumn id="14" xr3:uid="{772377BD-3C29-43F2-AB76-9A1BD784ADE1}" name="miqcp"/>
    <tableColumn id="17" xr3:uid="{BE901615-D78C-4FF2-97D4-7A5543FDD7C2}" name="greedy"/>
    <tableColumn id="20" xr3:uid="{2C600DA6-8ED0-481F-BFB5-E9B3BF3192F4}" name="rollout k=1"/>
    <tableColumn id="25" xr3:uid="{1FA58E2E-4E9A-4D2B-9915-D9DDFFD3D8D3}" name="rollout k=2"/>
    <tableColumn id="30" xr3:uid="{285A06B3-7EAD-4D28-A71D-71A4AAD8CDD7}" name="rollout k=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8C8E381-2A29-4367-8A6B-4A4925747FBF}" name="Table26" displayName="Table26" ref="A1:J61" totalsRowShown="0">
  <autoFilter ref="A1:J61" xr:uid="{FC5E15C2-B442-4983-BE4C-DEEC4B04AAB4}"/>
  <tableColumns count="10">
    <tableColumn id="1" xr3:uid="{46A0C2C8-56E5-4A57-8BFD-A60ED7C7916F}" name="id"/>
    <tableColumn id="2" xr3:uid="{667A574A-3BDB-421C-91AF-72CEEB2739F2}" name="n_nodes"/>
    <tableColumn id="3" xr3:uid="{F1467B7B-2F5E-4DF5-9364-BDE3F3C9E596}" name="duration_dp" dataDxfId="35"/>
    <tableColumn id="6" xr3:uid="{82CDB484-1F3C-46A0-9206-C53BFA0B71BB}" name="duration_iqcp" dataDxfId="34"/>
    <tableColumn id="9" xr3:uid="{9BC1E1A5-23F7-4E70-A254-C811A7B0E9AA}" name="duration_ilp" dataDxfId="33"/>
    <tableColumn id="12" xr3:uid="{CC8D3D03-6199-450C-9270-FA818B49B6F5}" name="duration_miqcp" dataDxfId="32"/>
    <tableColumn id="15" xr3:uid="{00244C2A-4D1B-43B6-80A6-9F0655A1C8AE}" name="duration_greedy" dataDxfId="31"/>
    <tableColumn id="19" xr3:uid="{F2D3393D-9B19-43A7-8700-D4DF4F789BAB}" name="duration_rollout k=1" dataDxfId="30"/>
    <tableColumn id="24" xr3:uid="{1F870097-64C2-4D53-91EE-C831CE7BAE8E}" name="duration_rollout k=2" dataDxfId="29"/>
    <tableColumn id="29" xr3:uid="{479012F8-DDF3-4D04-847B-5CA8E72CA78B}" name="duration_rollout k=3" dataDxfId="2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391C8EB-8EBC-4740-9E2D-7F007BF8E591}" name="Table27" displayName="Table27" ref="A1:E61" totalsRowShown="0">
  <autoFilter ref="A1:E61" xr:uid="{FC5E15C2-B442-4983-BE4C-DEEC4B04AAB4}"/>
  <tableColumns count="5">
    <tableColumn id="1" xr3:uid="{3F3F0415-B27B-412B-A7BE-049A954E8AB3}" name="id"/>
    <tableColumn id="7" xr3:uid="{AF8CDDF5-4573-4279-90F8-CAF29B1C2C5A}" name="solution_iqcp"/>
    <tableColumn id="18" xr3:uid="{31EB5B50-BE92-48A0-878C-3271CE2B3AA9}" name="solution_rollout k=1"/>
    <tableColumn id="23" xr3:uid="{5978E5CE-1F36-43B4-B7A6-DBC0A5B31F64}" name="solution_rollout k=2"/>
    <tableColumn id="28" xr3:uid="{56AB7540-FE9A-4D8D-A7F9-5916A5B2F4F1}" name="solution_rollout k=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CFBD6C3-3D0C-4AC8-AFA9-DE55E7E26EAC}" name="Table28" displayName="Table28" ref="A1:F61" totalsRowShown="0">
  <autoFilter ref="A1:F61" xr:uid="{DCFBD6C3-3D0C-4AC8-AFA9-DE55E7E26EAC}"/>
  <sortState xmlns:xlrd2="http://schemas.microsoft.com/office/spreadsheetml/2017/richdata2" ref="A2:F61">
    <sortCondition ref="B1:B61"/>
  </sortState>
  <tableColumns count="6">
    <tableColumn id="1" xr3:uid="{97DDD60E-682D-40F3-BA07-1BA1BFB5C514}" name="experiment"/>
    <tableColumn id="2" xr3:uid="{6CB3EFF9-AEAF-4166-A292-74F3B4B5B891}" name="n_nodes"/>
    <tableColumn id="15" xr3:uid="{7C1AC257-35AB-49BB-A41B-DC37F9127EBB}" name="duration_greedy"/>
    <tableColumn id="19" xr3:uid="{E6EBFC4D-F08F-4839-B0F3-47C80D57EE26}" name="time_taken k=1"/>
    <tableColumn id="24" xr3:uid="{F88826EC-676C-4FD4-A052-B11D2552F419}" name="time_taken k=2"/>
    <tableColumn id="29" xr3:uid="{A09D4FA3-DA10-4F27-9CF3-E28D70DB38DF}" name="time_taken k=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AC25E40-4EA8-4CBD-AC8B-5B99CF5BA047}" name="Table8" displayName="Table8" ref="A1:F11" totalsRowShown="0" dataDxfId="21" tableBorderDxfId="27">
  <autoFilter ref="A1:F11" xr:uid="{EAC25E40-4EA8-4CBD-AC8B-5B99CF5BA047}"/>
  <tableColumns count="6">
    <tableColumn id="1" xr3:uid="{90AA1423-79D0-47FA-80E4-0F13D63849A9}" name="20"/>
    <tableColumn id="2" xr3:uid="{A8479BF4-95F6-460A-A7DC-1AAD8174C7CE}" name="25" dataDxfId="26"/>
    <tableColumn id="3" xr3:uid="{D3EA3B60-C263-4948-8059-906FC1E0687E}" name="40" dataDxfId="25"/>
    <tableColumn id="4" xr3:uid="{8443D5FB-84DF-4F0F-96CB-F80BA9F06978}" name="50" dataDxfId="24"/>
    <tableColumn id="5" xr3:uid="{2455CE84-9653-4A99-9A59-87C669730F46}" name="75" dataDxfId="23"/>
    <tableColumn id="6" xr3:uid="{1AC13411-CC3E-4E04-8981-8ED887637298}" name="100" dataDxfId="2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D109B1C-F705-4CDA-A157-70FDD3DCBAEA}" name="Table9" displayName="Table9" ref="A1:F11" totalsRowShown="0" dataDxfId="14" tableBorderDxfId="20">
  <autoFilter ref="A1:F11" xr:uid="{ED109B1C-F705-4CDA-A157-70FDD3DCBAEA}"/>
  <tableColumns count="6">
    <tableColumn id="1" xr3:uid="{12913906-ADCA-4787-A8C5-E858FAB3B40E}" name="20"/>
    <tableColumn id="2" xr3:uid="{69CC8094-647F-474C-9AD5-926E2ECFC91E}" name="25" dataDxfId="19"/>
    <tableColumn id="3" xr3:uid="{3F4FE94F-C203-4AFB-B01C-6FE570AA28E3}" name="40" dataDxfId="18"/>
    <tableColumn id="4" xr3:uid="{071C23C4-2565-4CA3-810F-355E14305750}" name="50" dataDxfId="17"/>
    <tableColumn id="5" xr3:uid="{ADA5EBD9-87B7-4CF4-931A-D9BCD8E63C54}" name="75" dataDxfId="16"/>
    <tableColumn id="6" xr3:uid="{564FB2FC-4EF7-4C12-A20D-F11ADCE26D64}" name="100" dataDxfId="1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419CC4E-D46E-4EE6-A21C-75DB50692B20}" name="Table10" displayName="Table10" ref="A1:F11" totalsRowShown="0" dataDxfId="7" tableBorderDxfId="13">
  <autoFilter ref="A1:F11" xr:uid="{7419CC4E-D46E-4EE6-A21C-75DB50692B20}"/>
  <tableColumns count="6">
    <tableColumn id="1" xr3:uid="{C12616F2-F9EF-44FD-B101-59EEED24BA8B}" name="20"/>
    <tableColumn id="2" xr3:uid="{590898BA-7D25-4912-9C6F-CFD635325FF6}" name="25" dataDxfId="12"/>
    <tableColumn id="3" xr3:uid="{54CF1FB8-E916-4280-9BA8-E2CF6EC81817}" name="40" dataDxfId="11"/>
    <tableColumn id="4" xr3:uid="{A19A8795-4407-46E9-B829-B147FCE47CE1}" name="50" dataDxfId="10"/>
    <tableColumn id="5" xr3:uid="{2C862B69-AE54-4C0B-9BE8-3047BABA19F7}" name="75" dataDxfId="9"/>
    <tableColumn id="6" xr3:uid="{46534EE3-1978-43ED-82A2-43E67CD3480F}" name="100" dataDxfId="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9E9CCCF-D0E5-4746-A6D9-601FFC30B8CE}" name="Table11" displayName="Table11" ref="A1:F11" totalsRowShown="0" dataDxfId="0" tableBorderDxfId="6">
  <autoFilter ref="A1:F11" xr:uid="{A9E9CCCF-D0E5-4746-A6D9-601FFC30B8CE}"/>
  <tableColumns count="6">
    <tableColumn id="1" xr3:uid="{48DDA3A9-0BCE-445A-A853-17FF6476586B}" name="20"/>
    <tableColumn id="2" xr3:uid="{1EC3B596-9909-4332-9150-FE4A22790396}" name="25" dataDxfId="5"/>
    <tableColumn id="3" xr3:uid="{3E3FF7E6-502B-428D-8537-291D461FF375}" name="40" dataDxfId="4"/>
    <tableColumn id="4" xr3:uid="{7433F480-8EFD-4531-9980-1204EEF2A621}" name="50" dataDxfId="3"/>
    <tableColumn id="5" xr3:uid="{1A2A9B71-7435-437C-9CA7-A315DA80A1DC}" name="75" dataDxfId="2"/>
    <tableColumn id="6" xr3:uid="{C4B469EF-FA42-4766-8838-AAAC1AABC62D}" name="100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D8D70-640F-48A7-BD57-60DD2E4A0B0D}">
  <dimension ref="A1:AF61"/>
  <sheetViews>
    <sheetView topLeftCell="U30" workbookViewId="0">
      <selection sqref="A1:AF61"/>
    </sheetView>
  </sheetViews>
  <sheetFormatPr defaultRowHeight="15" x14ac:dyDescent="0.25"/>
  <cols>
    <col min="1" max="1" width="13.5703125" customWidth="1"/>
    <col min="2" max="2" width="10.7109375" customWidth="1"/>
    <col min="3" max="3" width="13.85546875" customWidth="1"/>
    <col min="4" max="4" width="13.7109375" customWidth="1"/>
    <col min="5" max="5" width="13.140625" customWidth="1"/>
    <col min="6" max="6" width="15.42578125" customWidth="1"/>
    <col min="7" max="7" width="15.28515625" customWidth="1"/>
    <col min="8" max="8" width="14.7109375" customWidth="1"/>
    <col min="9" max="9" width="14" bestFit="1" customWidth="1"/>
    <col min="10" max="10" width="20.140625" bestFit="1" customWidth="1"/>
    <col min="11" max="11" width="13.28515625" bestFit="1" customWidth="1"/>
    <col min="12" max="12" width="17.140625" customWidth="1"/>
    <col min="13" max="13" width="17" customWidth="1"/>
    <col min="14" max="14" width="16.42578125" customWidth="1"/>
    <col min="15" max="15" width="17.7109375" customWidth="1"/>
    <col min="16" max="16" width="17.5703125" customWidth="1"/>
    <col min="17" max="17" width="17" customWidth="1"/>
    <col min="18" max="18" width="20.85546875" customWidth="1"/>
    <col min="19" max="19" width="16.5703125" customWidth="1"/>
    <col min="20" max="20" width="20.28515625" customWidth="1"/>
    <col min="21" max="21" width="21.28515625" customWidth="1"/>
    <col min="22" max="22" width="23.5703125" customWidth="1"/>
    <col min="23" max="23" width="20.85546875" customWidth="1"/>
    <col min="24" max="24" width="16.5703125" customWidth="1"/>
    <col min="25" max="25" width="20.28515625" customWidth="1"/>
    <col min="26" max="26" width="21.28515625" customWidth="1"/>
    <col min="27" max="27" width="23.5703125" customWidth="1"/>
    <col min="28" max="28" width="20.85546875" customWidth="1"/>
    <col min="29" max="29" width="16.5703125" customWidth="1"/>
    <col min="30" max="30" width="20.28515625" customWidth="1"/>
    <col min="31" max="31" width="21.28515625" customWidth="1"/>
    <col min="32" max="32" width="23.5703125" customWidth="1"/>
  </cols>
  <sheetData>
    <row r="1" spans="1:32" x14ac:dyDescent="0.25">
      <c r="A1" t="s">
        <v>0</v>
      </c>
      <c r="B1" t="s">
        <v>13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250</v>
      </c>
      <c r="J1" t="s">
        <v>251</v>
      </c>
      <c r="K1" t="s">
        <v>252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203</v>
      </c>
      <c r="S1" t="s">
        <v>201</v>
      </c>
      <c r="T1" t="s">
        <v>202</v>
      </c>
      <c r="U1" t="s">
        <v>204</v>
      </c>
      <c r="V1" t="s">
        <v>205</v>
      </c>
      <c r="W1" t="s">
        <v>218</v>
      </c>
      <c r="X1" t="s">
        <v>219</v>
      </c>
      <c r="Y1" t="s">
        <v>220</v>
      </c>
      <c r="Z1" t="s">
        <v>221</v>
      </c>
      <c r="AA1" t="s">
        <v>222</v>
      </c>
      <c r="AB1" t="s">
        <v>233</v>
      </c>
      <c r="AC1" t="s">
        <v>234</v>
      </c>
      <c r="AD1" t="s">
        <v>235</v>
      </c>
      <c r="AE1" t="s">
        <v>236</v>
      </c>
      <c r="AF1" t="s">
        <v>237</v>
      </c>
    </row>
    <row r="2" spans="1:32" x14ac:dyDescent="0.25">
      <c r="A2">
        <v>10</v>
      </c>
      <c r="B2">
        <v>25</v>
      </c>
      <c r="C2">
        <v>0.11955213546752901</v>
      </c>
      <c r="D2" t="s">
        <v>45</v>
      </c>
      <c r="E2">
        <v>20</v>
      </c>
      <c r="F2">
        <v>8.4801874160766602</v>
      </c>
      <c r="G2" t="s">
        <v>46</v>
      </c>
      <c r="H2">
        <v>20</v>
      </c>
      <c r="I2">
        <v>30.6950695514678</v>
      </c>
      <c r="J2" t="s">
        <v>46</v>
      </c>
      <c r="K2">
        <v>20</v>
      </c>
      <c r="L2">
        <v>86400.117207765506</v>
      </c>
      <c r="O2">
        <v>4.1575431823730399E-3</v>
      </c>
      <c r="P2" t="s">
        <v>47</v>
      </c>
      <c r="Q2">
        <v>12</v>
      </c>
      <c r="R2" t="s">
        <v>48</v>
      </c>
      <c r="S2">
        <v>6.4846166999814103E-2</v>
      </c>
      <c r="T2">
        <v>20</v>
      </c>
      <c r="U2">
        <v>0</v>
      </c>
      <c r="V2">
        <v>8</v>
      </c>
      <c r="W2" t="s">
        <v>48</v>
      </c>
      <c r="X2">
        <v>0.123557750000145</v>
      </c>
      <c r="Y2">
        <v>20</v>
      </c>
      <c r="Z2">
        <v>0</v>
      </c>
      <c r="AA2">
        <v>8</v>
      </c>
      <c r="AB2" t="s">
        <v>48</v>
      </c>
      <c r="AC2">
        <v>0.19009912499950499</v>
      </c>
      <c r="AD2">
        <v>20</v>
      </c>
      <c r="AE2">
        <v>0</v>
      </c>
      <c r="AF2">
        <v>8</v>
      </c>
    </row>
    <row r="3" spans="1:32" x14ac:dyDescent="0.25">
      <c r="A3">
        <v>11</v>
      </c>
      <c r="B3">
        <v>40</v>
      </c>
      <c r="C3">
        <v>756.54569530487004</v>
      </c>
      <c r="D3" t="s">
        <v>49</v>
      </c>
      <c r="E3">
        <v>36</v>
      </c>
      <c r="F3">
        <v>78.926250696182194</v>
      </c>
      <c r="G3" t="s">
        <v>50</v>
      </c>
      <c r="H3">
        <v>36</v>
      </c>
      <c r="I3">
        <v>336.39172744750903</v>
      </c>
      <c r="J3" t="s">
        <v>51</v>
      </c>
      <c r="K3">
        <v>36</v>
      </c>
      <c r="O3">
        <v>5.05590438842773E-3</v>
      </c>
      <c r="P3" t="s">
        <v>52</v>
      </c>
      <c r="Q3">
        <v>31</v>
      </c>
      <c r="R3" t="s">
        <v>53</v>
      </c>
      <c r="S3">
        <v>0.168602750000445</v>
      </c>
      <c r="T3">
        <v>36</v>
      </c>
      <c r="U3">
        <v>0</v>
      </c>
      <c r="V3">
        <v>5</v>
      </c>
      <c r="W3" t="s">
        <v>53</v>
      </c>
      <c r="X3">
        <v>0.82291654199980202</v>
      </c>
      <c r="Y3">
        <v>36</v>
      </c>
      <c r="Z3">
        <v>0</v>
      </c>
      <c r="AA3">
        <v>5</v>
      </c>
      <c r="AB3" t="s">
        <v>53</v>
      </c>
      <c r="AC3">
        <v>2.42598616599934</v>
      </c>
      <c r="AD3">
        <v>36</v>
      </c>
      <c r="AE3">
        <v>0</v>
      </c>
      <c r="AF3">
        <v>5</v>
      </c>
    </row>
    <row r="4" spans="1:32" x14ac:dyDescent="0.25">
      <c r="A4">
        <v>37</v>
      </c>
      <c r="B4">
        <v>75</v>
      </c>
      <c r="F4">
        <v>859.79220128059296</v>
      </c>
      <c r="G4" t="s">
        <v>125</v>
      </c>
      <c r="H4">
        <v>69</v>
      </c>
      <c r="I4">
        <v>1054.3817796707101</v>
      </c>
      <c r="O4">
        <v>6.9537162780761701E-3</v>
      </c>
      <c r="P4" t="s">
        <v>126</v>
      </c>
      <c r="Q4">
        <v>65</v>
      </c>
      <c r="R4" t="s">
        <v>127</v>
      </c>
      <c r="S4">
        <v>1.9745873339997999</v>
      </c>
      <c r="T4">
        <v>69</v>
      </c>
      <c r="U4">
        <v>0</v>
      </c>
      <c r="V4">
        <v>4</v>
      </c>
      <c r="W4" t="s">
        <v>127</v>
      </c>
      <c r="X4">
        <v>25.6964639699999</v>
      </c>
      <c r="Y4">
        <v>69</v>
      </c>
      <c r="Z4">
        <v>0</v>
      </c>
      <c r="AA4">
        <v>4</v>
      </c>
      <c r="AB4" t="s">
        <v>127</v>
      </c>
      <c r="AC4">
        <v>159.59676973800001</v>
      </c>
      <c r="AD4">
        <v>69</v>
      </c>
      <c r="AE4">
        <v>0</v>
      </c>
      <c r="AF4">
        <v>4</v>
      </c>
    </row>
    <row r="5" spans="1:32" x14ac:dyDescent="0.25">
      <c r="A5">
        <v>48</v>
      </c>
      <c r="B5">
        <v>100</v>
      </c>
      <c r="F5">
        <v>6326.9702832698804</v>
      </c>
      <c r="G5" t="s">
        <v>157</v>
      </c>
      <c r="H5">
        <v>89</v>
      </c>
      <c r="I5">
        <v>3379.9579806327802</v>
      </c>
      <c r="O5">
        <v>9.0699195861816406E-3</v>
      </c>
      <c r="P5" t="s">
        <v>158</v>
      </c>
      <c r="Q5">
        <v>86</v>
      </c>
      <c r="R5" t="s">
        <v>159</v>
      </c>
      <c r="S5">
        <v>1.23514304200034</v>
      </c>
      <c r="T5">
        <v>89</v>
      </c>
      <c r="U5">
        <v>0</v>
      </c>
      <c r="V5">
        <v>3</v>
      </c>
      <c r="W5" t="s">
        <v>159</v>
      </c>
      <c r="X5">
        <v>3.32769850099975</v>
      </c>
      <c r="Y5">
        <v>89</v>
      </c>
      <c r="Z5">
        <v>0</v>
      </c>
      <c r="AA5">
        <v>3</v>
      </c>
      <c r="AB5" t="s">
        <v>159</v>
      </c>
      <c r="AC5">
        <v>87.265396372999007</v>
      </c>
      <c r="AD5">
        <v>89</v>
      </c>
      <c r="AE5">
        <v>0</v>
      </c>
      <c r="AF5">
        <v>3</v>
      </c>
    </row>
    <row r="6" spans="1:32" x14ac:dyDescent="0.25">
      <c r="A6">
        <v>52</v>
      </c>
      <c r="B6">
        <v>20</v>
      </c>
      <c r="C6">
        <v>5.84690570831298E-2</v>
      </c>
      <c r="D6" t="s">
        <v>170</v>
      </c>
      <c r="E6">
        <v>15</v>
      </c>
      <c r="F6">
        <v>5.6918811798095703</v>
      </c>
      <c r="G6" t="s">
        <v>171</v>
      </c>
      <c r="H6">
        <v>15</v>
      </c>
      <c r="I6">
        <v>23.852615594863799</v>
      </c>
      <c r="J6" t="s">
        <v>172</v>
      </c>
      <c r="K6">
        <v>15</v>
      </c>
      <c r="L6">
        <v>86400.179282665194</v>
      </c>
      <c r="O6">
        <v>3.7240982055664002E-3</v>
      </c>
      <c r="P6" t="s">
        <v>173</v>
      </c>
      <c r="Q6">
        <v>13</v>
      </c>
      <c r="R6" t="s">
        <v>174</v>
      </c>
      <c r="S6">
        <v>5.78074999998534E-2</v>
      </c>
      <c r="T6">
        <v>15</v>
      </c>
      <c r="U6">
        <v>0</v>
      </c>
      <c r="V6">
        <v>2</v>
      </c>
      <c r="W6" t="s">
        <v>174</v>
      </c>
      <c r="X6">
        <v>9.0659749999758704E-2</v>
      </c>
      <c r="Y6">
        <v>15</v>
      </c>
      <c r="Z6">
        <v>0</v>
      </c>
      <c r="AA6">
        <v>2</v>
      </c>
      <c r="AB6" t="s">
        <v>174</v>
      </c>
      <c r="AC6">
        <v>0.16066162499919301</v>
      </c>
      <c r="AD6">
        <v>15</v>
      </c>
      <c r="AE6">
        <v>0</v>
      </c>
      <c r="AF6">
        <v>2</v>
      </c>
    </row>
    <row r="7" spans="1:32" x14ac:dyDescent="0.25">
      <c r="A7">
        <v>24</v>
      </c>
      <c r="B7">
        <v>50</v>
      </c>
      <c r="F7">
        <v>132.75861263275101</v>
      </c>
      <c r="G7" t="s">
        <v>89</v>
      </c>
      <c r="H7">
        <v>48</v>
      </c>
      <c r="I7">
        <v>429.64812469482399</v>
      </c>
      <c r="J7" t="s">
        <v>90</v>
      </c>
      <c r="K7">
        <v>48</v>
      </c>
      <c r="O7">
        <v>6.07061386108398E-3</v>
      </c>
      <c r="P7" t="s">
        <v>91</v>
      </c>
      <c r="Q7">
        <v>46</v>
      </c>
      <c r="R7" t="s">
        <v>92</v>
      </c>
      <c r="S7">
        <v>0.38118024999994299</v>
      </c>
      <c r="T7">
        <v>48</v>
      </c>
      <c r="U7">
        <v>0</v>
      </c>
      <c r="V7">
        <v>2</v>
      </c>
      <c r="W7" t="s">
        <v>209</v>
      </c>
      <c r="X7">
        <v>2.7484046260005899</v>
      </c>
      <c r="Y7">
        <v>48</v>
      </c>
      <c r="Z7">
        <v>0</v>
      </c>
      <c r="AA7">
        <v>2</v>
      </c>
      <c r="AB7" t="s">
        <v>228</v>
      </c>
      <c r="AC7">
        <v>18.026117092000199</v>
      </c>
      <c r="AD7">
        <v>48</v>
      </c>
      <c r="AE7">
        <v>0</v>
      </c>
      <c r="AF7">
        <v>2</v>
      </c>
    </row>
    <row r="8" spans="1:32" x14ac:dyDescent="0.25">
      <c r="A8">
        <v>47</v>
      </c>
      <c r="B8">
        <v>100</v>
      </c>
      <c r="F8">
        <v>2488.1506261825498</v>
      </c>
      <c r="G8" t="s">
        <v>154</v>
      </c>
      <c r="H8">
        <v>97</v>
      </c>
      <c r="I8">
        <v>3088.3284564018199</v>
      </c>
      <c r="O8">
        <v>9.4974040985107405E-3</v>
      </c>
      <c r="P8" t="s">
        <v>155</v>
      </c>
      <c r="Q8">
        <v>95</v>
      </c>
      <c r="R8" t="s">
        <v>156</v>
      </c>
      <c r="S8">
        <v>1.2422580009997499</v>
      </c>
      <c r="T8">
        <v>97</v>
      </c>
      <c r="U8">
        <v>0</v>
      </c>
      <c r="V8">
        <v>2</v>
      </c>
      <c r="W8" t="s">
        <v>156</v>
      </c>
      <c r="X8">
        <v>43.969725020000602</v>
      </c>
      <c r="Y8">
        <v>97</v>
      </c>
      <c r="Z8">
        <v>0</v>
      </c>
      <c r="AA8">
        <v>2</v>
      </c>
      <c r="AB8" t="s">
        <v>156</v>
      </c>
      <c r="AC8">
        <v>156.993464821</v>
      </c>
      <c r="AD8">
        <v>97</v>
      </c>
      <c r="AE8">
        <v>0</v>
      </c>
      <c r="AF8">
        <v>2</v>
      </c>
    </row>
    <row r="9" spans="1:32" x14ac:dyDescent="0.25">
      <c r="A9">
        <v>41</v>
      </c>
      <c r="B9">
        <v>100</v>
      </c>
      <c r="F9">
        <v>3565.7875645160598</v>
      </c>
      <c r="G9" t="s">
        <v>137</v>
      </c>
      <c r="H9">
        <v>99</v>
      </c>
      <c r="I9">
        <v>4040.33326697349</v>
      </c>
      <c r="O9">
        <v>9.1185569763183594E-3</v>
      </c>
      <c r="P9" t="s">
        <v>138</v>
      </c>
      <c r="Q9">
        <v>97</v>
      </c>
      <c r="R9" t="s">
        <v>139</v>
      </c>
      <c r="S9">
        <v>4.4783545440000099</v>
      </c>
      <c r="T9">
        <v>99</v>
      </c>
      <c r="U9">
        <v>0</v>
      </c>
      <c r="V9">
        <v>2</v>
      </c>
      <c r="W9" t="s">
        <v>139</v>
      </c>
      <c r="X9">
        <v>105.602236048999</v>
      </c>
      <c r="Y9">
        <v>99</v>
      </c>
      <c r="Z9">
        <v>0</v>
      </c>
      <c r="AA9">
        <v>2</v>
      </c>
      <c r="AB9" t="s">
        <v>139</v>
      </c>
      <c r="AC9">
        <v>899.17824857400001</v>
      </c>
      <c r="AD9">
        <v>99</v>
      </c>
      <c r="AE9">
        <v>0</v>
      </c>
      <c r="AF9">
        <v>2</v>
      </c>
    </row>
    <row r="10" spans="1:32" x14ac:dyDescent="0.25">
      <c r="A10">
        <v>53</v>
      </c>
      <c r="B10">
        <v>20</v>
      </c>
      <c r="C10">
        <v>2.0714759826660101E-2</v>
      </c>
      <c r="D10" t="s">
        <v>175</v>
      </c>
      <c r="E10">
        <v>15</v>
      </c>
      <c r="F10">
        <v>3.1399140357971098</v>
      </c>
      <c r="G10" t="s">
        <v>175</v>
      </c>
      <c r="H10">
        <v>15</v>
      </c>
      <c r="I10">
        <v>7.6340012550354004</v>
      </c>
      <c r="J10" t="s">
        <v>175</v>
      </c>
      <c r="K10">
        <v>15</v>
      </c>
      <c r="L10">
        <v>94.903298854827796</v>
      </c>
      <c r="M10" t="s">
        <v>176</v>
      </c>
      <c r="N10">
        <v>15</v>
      </c>
      <c r="O10">
        <v>3.6454200744628902E-3</v>
      </c>
      <c r="P10" t="s">
        <v>177</v>
      </c>
      <c r="Q10">
        <v>14</v>
      </c>
      <c r="R10" t="s">
        <v>178</v>
      </c>
      <c r="S10">
        <v>3.9888125000288703E-2</v>
      </c>
      <c r="T10">
        <v>15</v>
      </c>
      <c r="U10">
        <v>0</v>
      </c>
      <c r="V10">
        <v>1</v>
      </c>
      <c r="W10" t="s">
        <v>178</v>
      </c>
      <c r="X10">
        <v>5.8049999999639099E-2</v>
      </c>
      <c r="Y10">
        <v>15</v>
      </c>
      <c r="Z10">
        <v>0</v>
      </c>
      <c r="AA10">
        <v>1</v>
      </c>
      <c r="AB10" t="s">
        <v>178</v>
      </c>
      <c r="AC10">
        <v>8.8539541999125504E-2</v>
      </c>
      <c r="AD10">
        <v>15</v>
      </c>
      <c r="AE10">
        <v>0</v>
      </c>
      <c r="AF10">
        <v>1</v>
      </c>
    </row>
    <row r="11" spans="1:32" x14ac:dyDescent="0.25">
      <c r="A11">
        <v>2</v>
      </c>
      <c r="B11">
        <v>25</v>
      </c>
      <c r="C11">
        <v>0.155776977539062</v>
      </c>
      <c r="D11" t="s">
        <v>18</v>
      </c>
      <c r="E11">
        <v>20</v>
      </c>
      <c r="F11">
        <v>5.0183191299438397</v>
      </c>
      <c r="G11" t="s">
        <v>19</v>
      </c>
      <c r="H11">
        <v>20</v>
      </c>
      <c r="I11">
        <v>17.926093339920001</v>
      </c>
      <c r="J11" t="s">
        <v>19</v>
      </c>
      <c r="K11">
        <v>20</v>
      </c>
      <c r="L11">
        <v>86400.072399616198</v>
      </c>
      <c r="O11">
        <v>4.5094490051269497E-3</v>
      </c>
      <c r="P11" t="s">
        <v>20</v>
      </c>
      <c r="Q11">
        <v>19</v>
      </c>
      <c r="R11" t="s">
        <v>21</v>
      </c>
      <c r="S11">
        <v>5.3255167000315802E-2</v>
      </c>
      <c r="T11">
        <v>20</v>
      </c>
      <c r="U11">
        <v>0</v>
      </c>
      <c r="V11">
        <v>1</v>
      </c>
      <c r="W11" t="s">
        <v>21</v>
      </c>
      <c r="X11">
        <v>0.174720875000275</v>
      </c>
      <c r="Y11">
        <v>20</v>
      </c>
      <c r="Z11">
        <v>0</v>
      </c>
      <c r="AA11">
        <v>1</v>
      </c>
      <c r="AB11" t="s">
        <v>21</v>
      </c>
      <c r="AC11">
        <v>0.24558804200023501</v>
      </c>
      <c r="AD11">
        <v>20</v>
      </c>
      <c r="AE11">
        <v>0</v>
      </c>
      <c r="AF11">
        <v>1</v>
      </c>
    </row>
    <row r="12" spans="1:32" x14ac:dyDescent="0.25">
      <c r="A12">
        <v>26</v>
      </c>
      <c r="B12">
        <v>50</v>
      </c>
      <c r="F12">
        <v>130.107779741287</v>
      </c>
      <c r="G12" t="s">
        <v>97</v>
      </c>
      <c r="H12">
        <v>45</v>
      </c>
      <c r="I12">
        <v>602.71774530410698</v>
      </c>
      <c r="J12" t="s">
        <v>97</v>
      </c>
      <c r="K12">
        <v>45</v>
      </c>
      <c r="O12">
        <v>5.63573837280273E-3</v>
      </c>
      <c r="P12" t="s">
        <v>98</v>
      </c>
      <c r="Q12">
        <v>44</v>
      </c>
      <c r="R12" t="s">
        <v>99</v>
      </c>
      <c r="S12">
        <v>0.28343674999996399</v>
      </c>
      <c r="T12">
        <v>45</v>
      </c>
      <c r="U12">
        <v>0</v>
      </c>
      <c r="V12">
        <v>1</v>
      </c>
      <c r="W12" t="s">
        <v>99</v>
      </c>
      <c r="X12">
        <v>4.3689845439994297</v>
      </c>
      <c r="Y12">
        <v>45</v>
      </c>
      <c r="Z12">
        <v>0</v>
      </c>
      <c r="AA12">
        <v>1</v>
      </c>
      <c r="AB12" t="s">
        <v>99</v>
      </c>
      <c r="AC12">
        <v>15.811426299999701</v>
      </c>
      <c r="AD12">
        <v>45</v>
      </c>
      <c r="AE12">
        <v>0</v>
      </c>
      <c r="AF12">
        <v>1</v>
      </c>
    </row>
    <row r="13" spans="1:32" x14ac:dyDescent="0.25">
      <c r="A13">
        <v>22</v>
      </c>
      <c r="B13">
        <v>50</v>
      </c>
      <c r="F13">
        <v>68.101652383804307</v>
      </c>
      <c r="G13" t="s">
        <v>82</v>
      </c>
      <c r="H13">
        <v>49</v>
      </c>
      <c r="I13">
        <v>188.78203177451999</v>
      </c>
      <c r="J13" t="s">
        <v>82</v>
      </c>
      <c r="K13">
        <v>49</v>
      </c>
      <c r="O13">
        <v>5.5255889892578099E-3</v>
      </c>
      <c r="P13" t="s">
        <v>83</v>
      </c>
      <c r="Q13">
        <v>48</v>
      </c>
      <c r="R13" t="s">
        <v>84</v>
      </c>
      <c r="S13">
        <v>0.40008525000030198</v>
      </c>
      <c r="T13">
        <v>49</v>
      </c>
      <c r="U13">
        <v>0</v>
      </c>
      <c r="V13">
        <v>1</v>
      </c>
      <c r="W13" t="s">
        <v>84</v>
      </c>
      <c r="X13">
        <v>4.7785656269998</v>
      </c>
      <c r="Y13">
        <v>49</v>
      </c>
      <c r="Z13">
        <v>0</v>
      </c>
      <c r="AA13">
        <v>1</v>
      </c>
      <c r="AB13" t="s">
        <v>84</v>
      </c>
      <c r="AC13">
        <v>13.6218335060002</v>
      </c>
      <c r="AD13">
        <v>49</v>
      </c>
      <c r="AE13">
        <v>0</v>
      </c>
      <c r="AF13">
        <v>1</v>
      </c>
    </row>
    <row r="14" spans="1:32" x14ac:dyDescent="0.25">
      <c r="A14">
        <v>33</v>
      </c>
      <c r="B14">
        <v>75</v>
      </c>
      <c r="F14">
        <v>862.76423358917202</v>
      </c>
      <c r="G14" t="s">
        <v>114</v>
      </c>
      <c r="H14">
        <v>72</v>
      </c>
      <c r="I14">
        <v>1056.46148824691</v>
      </c>
      <c r="O14">
        <v>7.4980258941650304E-3</v>
      </c>
      <c r="P14" t="s">
        <v>115</v>
      </c>
      <c r="Q14">
        <v>71</v>
      </c>
      <c r="R14" t="s">
        <v>116</v>
      </c>
      <c r="S14">
        <v>0.82913062499983403</v>
      </c>
      <c r="T14">
        <v>72</v>
      </c>
      <c r="U14">
        <v>0</v>
      </c>
      <c r="V14">
        <v>1</v>
      </c>
      <c r="W14" t="s">
        <v>116</v>
      </c>
      <c r="X14">
        <v>25.0604030530003</v>
      </c>
      <c r="Y14">
        <v>72</v>
      </c>
      <c r="Z14">
        <v>0</v>
      </c>
      <c r="AA14">
        <v>1</v>
      </c>
      <c r="AB14" t="s">
        <v>116</v>
      </c>
      <c r="AC14">
        <v>177.60294691299899</v>
      </c>
      <c r="AD14">
        <v>72</v>
      </c>
      <c r="AE14">
        <v>0</v>
      </c>
      <c r="AF14">
        <v>1</v>
      </c>
    </row>
    <row r="15" spans="1:32" x14ac:dyDescent="0.25">
      <c r="A15">
        <v>44</v>
      </c>
      <c r="B15">
        <v>100</v>
      </c>
      <c r="F15">
        <v>3300.5156140327399</v>
      </c>
      <c r="G15" t="s">
        <v>145</v>
      </c>
      <c r="H15">
        <v>98</v>
      </c>
      <c r="I15">
        <v>3691.8290073871599</v>
      </c>
      <c r="O15">
        <v>8.6023807525634696E-3</v>
      </c>
      <c r="P15" t="s">
        <v>146</v>
      </c>
      <c r="Q15">
        <v>97</v>
      </c>
      <c r="R15" t="s">
        <v>147</v>
      </c>
      <c r="S15">
        <v>1.67711304199974</v>
      </c>
      <c r="T15">
        <v>98</v>
      </c>
      <c r="U15">
        <v>0</v>
      </c>
      <c r="V15">
        <v>1</v>
      </c>
      <c r="W15" t="s">
        <v>147</v>
      </c>
      <c r="X15">
        <v>69.539149072999805</v>
      </c>
      <c r="Y15">
        <v>98</v>
      </c>
      <c r="Z15">
        <v>0</v>
      </c>
      <c r="AA15">
        <v>1</v>
      </c>
      <c r="AB15" t="s">
        <v>147</v>
      </c>
      <c r="AC15">
        <v>681.20098185200004</v>
      </c>
      <c r="AD15">
        <v>98</v>
      </c>
      <c r="AE15">
        <v>0</v>
      </c>
      <c r="AF15">
        <v>1</v>
      </c>
    </row>
    <row r="16" spans="1:32" x14ac:dyDescent="0.25">
      <c r="A16">
        <v>43</v>
      </c>
      <c r="B16">
        <v>100</v>
      </c>
      <c r="F16">
        <v>2591.8490533828699</v>
      </c>
      <c r="G16" t="s">
        <v>142</v>
      </c>
      <c r="H16">
        <v>96</v>
      </c>
      <c r="I16">
        <v>3170.6341514587398</v>
      </c>
      <c r="O16">
        <v>8.9905261993408203E-3</v>
      </c>
      <c r="P16" t="s">
        <v>143</v>
      </c>
      <c r="Q16">
        <v>95</v>
      </c>
      <c r="R16" t="s">
        <v>144</v>
      </c>
      <c r="S16">
        <v>2.6676563349997102</v>
      </c>
      <c r="T16">
        <v>96</v>
      </c>
      <c r="U16">
        <v>0</v>
      </c>
      <c r="V16">
        <v>1</v>
      </c>
      <c r="W16" t="s">
        <v>144</v>
      </c>
      <c r="X16">
        <v>95.267819126000106</v>
      </c>
      <c r="Y16">
        <v>96</v>
      </c>
      <c r="Z16">
        <v>0</v>
      </c>
      <c r="AA16">
        <v>1</v>
      </c>
      <c r="AB16" t="s">
        <v>144</v>
      </c>
      <c r="AC16">
        <v>331.37683652599998</v>
      </c>
      <c r="AD16">
        <v>96</v>
      </c>
      <c r="AE16">
        <v>0</v>
      </c>
      <c r="AF16">
        <v>1</v>
      </c>
    </row>
    <row r="17" spans="1:32" x14ac:dyDescent="0.25">
      <c r="A17">
        <v>49</v>
      </c>
      <c r="B17">
        <v>100</v>
      </c>
      <c r="F17">
        <v>2521.6155614852901</v>
      </c>
      <c r="G17" t="s">
        <v>160</v>
      </c>
      <c r="H17">
        <v>98</v>
      </c>
      <c r="I17">
        <v>3149.4037983417502</v>
      </c>
      <c r="O17">
        <v>8.8615417480468698E-3</v>
      </c>
      <c r="P17" t="s">
        <v>161</v>
      </c>
      <c r="Q17">
        <v>97</v>
      </c>
      <c r="R17" t="s">
        <v>162</v>
      </c>
      <c r="S17">
        <v>2.9854539190000602</v>
      </c>
      <c r="T17">
        <v>98</v>
      </c>
      <c r="U17">
        <v>0</v>
      </c>
      <c r="V17">
        <v>1</v>
      </c>
      <c r="W17" t="s">
        <v>162</v>
      </c>
      <c r="X17">
        <v>44.019741561999503</v>
      </c>
      <c r="Y17">
        <v>98</v>
      </c>
      <c r="Z17">
        <v>0</v>
      </c>
      <c r="AA17">
        <v>1</v>
      </c>
      <c r="AB17" t="s">
        <v>162</v>
      </c>
      <c r="AC17">
        <v>549.05003112499901</v>
      </c>
      <c r="AD17">
        <v>98</v>
      </c>
      <c r="AE17">
        <v>0</v>
      </c>
      <c r="AF17">
        <v>1</v>
      </c>
    </row>
    <row r="18" spans="1:32" x14ac:dyDescent="0.25">
      <c r="A18">
        <v>5</v>
      </c>
      <c r="B18">
        <v>25</v>
      </c>
      <c r="C18">
        <v>1.79218649864196</v>
      </c>
      <c r="D18" t="s">
        <v>28</v>
      </c>
      <c r="E18">
        <v>22</v>
      </c>
      <c r="F18">
        <v>10.0670824050903</v>
      </c>
      <c r="G18" t="s">
        <v>28</v>
      </c>
      <c r="H18">
        <v>22</v>
      </c>
      <c r="I18">
        <v>20.0004465579986</v>
      </c>
      <c r="J18" t="s">
        <v>28</v>
      </c>
      <c r="K18">
        <v>22</v>
      </c>
      <c r="L18">
        <v>43438.653435230197</v>
      </c>
      <c r="M18" t="s">
        <v>29</v>
      </c>
      <c r="N18">
        <v>22</v>
      </c>
      <c r="O18">
        <v>4.1453838348388602E-3</v>
      </c>
      <c r="P18" t="s">
        <v>28</v>
      </c>
      <c r="Q18">
        <v>22</v>
      </c>
      <c r="R18" t="s">
        <v>30</v>
      </c>
      <c r="S18">
        <v>2.0007292000173E-2</v>
      </c>
      <c r="T18">
        <v>22</v>
      </c>
      <c r="U18">
        <v>0</v>
      </c>
      <c r="V18">
        <v>0</v>
      </c>
      <c r="W18" t="s">
        <v>30</v>
      </c>
      <c r="X18">
        <v>0.12626474999979101</v>
      </c>
      <c r="Y18">
        <v>22</v>
      </c>
      <c r="Z18">
        <v>0</v>
      </c>
      <c r="AA18">
        <v>0</v>
      </c>
      <c r="AB18" t="s">
        <v>30</v>
      </c>
      <c r="AC18">
        <v>0.18059608299972699</v>
      </c>
      <c r="AD18">
        <v>22</v>
      </c>
      <c r="AE18">
        <v>0</v>
      </c>
      <c r="AF18">
        <v>0</v>
      </c>
    </row>
    <row r="19" spans="1:32" x14ac:dyDescent="0.25">
      <c r="A19">
        <v>3</v>
      </c>
      <c r="B19">
        <v>25</v>
      </c>
      <c r="C19">
        <v>3.4204645156860298</v>
      </c>
      <c r="D19" t="s">
        <v>22</v>
      </c>
      <c r="E19">
        <v>21</v>
      </c>
      <c r="F19">
        <v>10.010939359664899</v>
      </c>
      <c r="G19" t="s">
        <v>22</v>
      </c>
      <c r="H19">
        <v>21</v>
      </c>
      <c r="I19">
        <v>17.008090019226</v>
      </c>
      <c r="J19" t="s">
        <v>22</v>
      </c>
      <c r="K19">
        <v>21</v>
      </c>
      <c r="L19">
        <v>1425.4224481582601</v>
      </c>
      <c r="M19" t="s">
        <v>22</v>
      </c>
      <c r="N19">
        <v>21</v>
      </c>
      <c r="O19">
        <v>4.02426719665527E-3</v>
      </c>
      <c r="P19" t="s">
        <v>22</v>
      </c>
      <c r="Q19">
        <v>21</v>
      </c>
      <c r="R19" t="s">
        <v>23</v>
      </c>
      <c r="S19">
        <v>2.7863165999860901E-2</v>
      </c>
      <c r="T19">
        <v>21</v>
      </c>
      <c r="U19">
        <v>0</v>
      </c>
      <c r="V19">
        <v>0</v>
      </c>
      <c r="W19" t="s">
        <v>23</v>
      </c>
      <c r="X19">
        <v>0.103825333000713</v>
      </c>
      <c r="Y19">
        <v>21</v>
      </c>
      <c r="Z19">
        <v>0</v>
      </c>
      <c r="AA19">
        <v>0</v>
      </c>
      <c r="AB19" t="s">
        <v>23</v>
      </c>
      <c r="AC19">
        <v>0.26194841599954</v>
      </c>
      <c r="AD19">
        <v>21</v>
      </c>
      <c r="AE19">
        <v>0</v>
      </c>
      <c r="AF19">
        <v>0</v>
      </c>
    </row>
    <row r="20" spans="1:32" x14ac:dyDescent="0.25">
      <c r="A20">
        <v>60</v>
      </c>
      <c r="B20">
        <v>20</v>
      </c>
      <c r="C20">
        <v>4.34470176696777E-2</v>
      </c>
      <c r="D20" t="s">
        <v>199</v>
      </c>
      <c r="E20">
        <v>16</v>
      </c>
      <c r="F20">
        <v>4.0671200752258301</v>
      </c>
      <c r="G20" t="s">
        <v>199</v>
      </c>
      <c r="H20">
        <v>16</v>
      </c>
      <c r="I20">
        <v>12.3923120498657</v>
      </c>
      <c r="J20" t="s">
        <v>199</v>
      </c>
      <c r="K20">
        <v>16</v>
      </c>
      <c r="L20">
        <v>86400.285001039505</v>
      </c>
      <c r="O20">
        <v>3.8189888000488199E-3</v>
      </c>
      <c r="P20" t="s">
        <v>199</v>
      </c>
      <c r="Q20">
        <v>16</v>
      </c>
      <c r="R20" t="s">
        <v>200</v>
      </c>
      <c r="S20">
        <v>2.8228874999967901E-2</v>
      </c>
      <c r="T20">
        <v>16</v>
      </c>
      <c r="U20">
        <v>0</v>
      </c>
      <c r="V20">
        <v>0</v>
      </c>
      <c r="W20" t="s">
        <v>200</v>
      </c>
      <c r="X20">
        <v>5.3727833000266401E-2</v>
      </c>
      <c r="Y20">
        <v>16</v>
      </c>
      <c r="Z20">
        <v>0</v>
      </c>
      <c r="AA20">
        <v>0</v>
      </c>
      <c r="AB20" t="s">
        <v>200</v>
      </c>
      <c r="AC20">
        <v>9.3913083999723299E-2</v>
      </c>
      <c r="AD20">
        <v>16</v>
      </c>
      <c r="AE20">
        <v>0</v>
      </c>
      <c r="AF20">
        <v>0</v>
      </c>
    </row>
    <row r="21" spans="1:32" x14ac:dyDescent="0.25">
      <c r="A21">
        <v>54</v>
      </c>
      <c r="B21">
        <v>20</v>
      </c>
      <c r="C21">
        <v>3.0108928680419901E-2</v>
      </c>
      <c r="D21" t="s">
        <v>179</v>
      </c>
      <c r="E21">
        <v>15</v>
      </c>
      <c r="F21">
        <v>3.1323459148406898</v>
      </c>
      <c r="G21" t="s">
        <v>179</v>
      </c>
      <c r="H21">
        <v>15</v>
      </c>
      <c r="I21">
        <v>6.0626444816589302</v>
      </c>
      <c r="J21" t="s">
        <v>179</v>
      </c>
      <c r="K21">
        <v>15</v>
      </c>
      <c r="L21">
        <v>456.62761378288201</v>
      </c>
      <c r="M21" t="s">
        <v>180</v>
      </c>
      <c r="N21">
        <v>15</v>
      </c>
      <c r="O21">
        <v>3.5321712493896402E-3</v>
      </c>
      <c r="P21" t="s">
        <v>179</v>
      </c>
      <c r="Q21">
        <v>15</v>
      </c>
      <c r="R21" t="s">
        <v>181</v>
      </c>
      <c r="S21">
        <v>2.8433916999802002E-2</v>
      </c>
      <c r="T21">
        <v>15</v>
      </c>
      <c r="U21">
        <v>0</v>
      </c>
      <c r="V21">
        <v>0</v>
      </c>
      <c r="W21" t="s">
        <v>181</v>
      </c>
      <c r="X21">
        <v>5.4628792000585201E-2</v>
      </c>
      <c r="Y21">
        <v>15</v>
      </c>
      <c r="Z21">
        <v>0</v>
      </c>
      <c r="AA21">
        <v>0</v>
      </c>
      <c r="AB21" t="s">
        <v>181</v>
      </c>
      <c r="AC21">
        <v>8.8027249999868204E-2</v>
      </c>
      <c r="AD21">
        <v>15</v>
      </c>
      <c r="AE21">
        <v>0</v>
      </c>
      <c r="AF21">
        <v>0</v>
      </c>
    </row>
    <row r="22" spans="1:32" x14ac:dyDescent="0.25">
      <c r="A22">
        <v>58</v>
      </c>
      <c r="B22">
        <v>20</v>
      </c>
      <c r="C22">
        <v>3.1080007553100499E-2</v>
      </c>
      <c r="D22" t="s">
        <v>192</v>
      </c>
      <c r="E22">
        <v>14</v>
      </c>
      <c r="F22">
        <v>3.35055232048034</v>
      </c>
      <c r="G22" t="s">
        <v>193</v>
      </c>
      <c r="H22">
        <v>14</v>
      </c>
      <c r="I22">
        <v>9.3668909072875906</v>
      </c>
      <c r="J22" t="s">
        <v>193</v>
      </c>
      <c r="K22">
        <v>14</v>
      </c>
      <c r="L22">
        <v>86400.115000963197</v>
      </c>
      <c r="O22">
        <v>3.5631656646728498E-3</v>
      </c>
      <c r="P22" t="s">
        <v>193</v>
      </c>
      <c r="Q22">
        <v>14</v>
      </c>
      <c r="R22" t="s">
        <v>194</v>
      </c>
      <c r="S22">
        <v>4.4324792000224898E-2</v>
      </c>
      <c r="T22">
        <v>14</v>
      </c>
      <c r="U22">
        <v>0</v>
      </c>
      <c r="V22">
        <v>0</v>
      </c>
      <c r="W22" t="s">
        <v>194</v>
      </c>
      <c r="X22">
        <v>6.7796667000038696E-2</v>
      </c>
      <c r="Y22">
        <v>14</v>
      </c>
      <c r="Z22">
        <v>0</v>
      </c>
      <c r="AA22">
        <v>0</v>
      </c>
      <c r="AB22" t="s">
        <v>194</v>
      </c>
      <c r="AC22">
        <v>0.15493399999832</v>
      </c>
      <c r="AD22">
        <v>14</v>
      </c>
      <c r="AE22">
        <v>0</v>
      </c>
      <c r="AF22">
        <v>0</v>
      </c>
    </row>
    <row r="23" spans="1:32" x14ac:dyDescent="0.25">
      <c r="A23">
        <v>57</v>
      </c>
      <c r="B23">
        <v>20</v>
      </c>
      <c r="C23">
        <v>0.146340131759643</v>
      </c>
      <c r="D23" t="s">
        <v>189</v>
      </c>
      <c r="E23">
        <v>16</v>
      </c>
      <c r="F23">
        <v>6.3730485439300502</v>
      </c>
      <c r="G23" t="s">
        <v>190</v>
      </c>
      <c r="H23">
        <v>16</v>
      </c>
      <c r="I23">
        <v>13.852207660675001</v>
      </c>
      <c r="J23" t="s">
        <v>190</v>
      </c>
      <c r="K23">
        <v>16</v>
      </c>
      <c r="L23">
        <v>86400.153110742496</v>
      </c>
      <c r="O23">
        <v>3.5440921783447201E-3</v>
      </c>
      <c r="P23" t="s">
        <v>190</v>
      </c>
      <c r="Q23">
        <v>16</v>
      </c>
      <c r="R23" t="s">
        <v>191</v>
      </c>
      <c r="S23">
        <v>4.8121415999958103E-2</v>
      </c>
      <c r="T23">
        <v>16</v>
      </c>
      <c r="U23">
        <v>0</v>
      </c>
      <c r="V23">
        <v>0</v>
      </c>
      <c r="W23" t="s">
        <v>217</v>
      </c>
      <c r="X23">
        <v>5.9643624999807798E-2</v>
      </c>
      <c r="Y23">
        <v>16</v>
      </c>
      <c r="Z23">
        <v>0</v>
      </c>
      <c r="AA23">
        <v>0</v>
      </c>
      <c r="AB23" t="s">
        <v>191</v>
      </c>
      <c r="AC23">
        <v>0.24887812500128301</v>
      </c>
      <c r="AD23">
        <v>16</v>
      </c>
      <c r="AE23">
        <v>0</v>
      </c>
      <c r="AF23">
        <v>0</v>
      </c>
    </row>
    <row r="24" spans="1:32" x14ac:dyDescent="0.25">
      <c r="A24">
        <v>6</v>
      </c>
      <c r="B24">
        <v>25</v>
      </c>
      <c r="C24">
        <v>0.19284844398498499</v>
      </c>
      <c r="D24" t="s">
        <v>31</v>
      </c>
      <c r="E24">
        <v>19</v>
      </c>
      <c r="F24">
        <v>10.538142442703201</v>
      </c>
      <c r="G24" t="s">
        <v>31</v>
      </c>
      <c r="H24">
        <v>19</v>
      </c>
      <c r="I24">
        <v>37.179535388946498</v>
      </c>
      <c r="J24" t="s">
        <v>31</v>
      </c>
      <c r="K24">
        <v>19</v>
      </c>
      <c r="L24">
        <v>86400.035922765703</v>
      </c>
      <c r="O24">
        <v>4.6305656433105399E-3</v>
      </c>
      <c r="P24" t="s">
        <v>31</v>
      </c>
      <c r="Q24">
        <v>19</v>
      </c>
      <c r="R24" t="s">
        <v>32</v>
      </c>
      <c r="S24">
        <v>4.92233330000999E-2</v>
      </c>
      <c r="T24">
        <v>19</v>
      </c>
      <c r="U24">
        <v>0</v>
      </c>
      <c r="V24">
        <v>0</v>
      </c>
      <c r="W24" t="s">
        <v>32</v>
      </c>
      <c r="X24">
        <v>0.10428475000026</v>
      </c>
      <c r="Y24">
        <v>19</v>
      </c>
      <c r="Z24">
        <v>0</v>
      </c>
      <c r="AA24">
        <v>0</v>
      </c>
      <c r="AB24" t="s">
        <v>32</v>
      </c>
      <c r="AC24">
        <v>0.194003292000161</v>
      </c>
      <c r="AD24">
        <v>19</v>
      </c>
      <c r="AE24">
        <v>0</v>
      </c>
      <c r="AF24">
        <v>0</v>
      </c>
    </row>
    <row r="25" spans="1:32" x14ac:dyDescent="0.25">
      <c r="A25">
        <v>8</v>
      </c>
      <c r="B25">
        <v>25</v>
      </c>
      <c r="C25">
        <v>1.88013172149658</v>
      </c>
      <c r="D25" t="s">
        <v>38</v>
      </c>
      <c r="E25">
        <v>19</v>
      </c>
      <c r="F25">
        <v>15.0325124263763</v>
      </c>
      <c r="G25" t="s">
        <v>39</v>
      </c>
      <c r="H25">
        <v>19</v>
      </c>
      <c r="I25">
        <v>35.265093088150003</v>
      </c>
      <c r="J25" t="s">
        <v>39</v>
      </c>
      <c r="K25">
        <v>19</v>
      </c>
      <c r="L25">
        <v>86400.195896625504</v>
      </c>
      <c r="O25">
        <v>4.3210983276367101E-3</v>
      </c>
      <c r="P25" t="s">
        <v>39</v>
      </c>
      <c r="Q25">
        <v>19</v>
      </c>
      <c r="R25" t="s">
        <v>40</v>
      </c>
      <c r="S25">
        <v>5.1922249999734001E-2</v>
      </c>
      <c r="T25">
        <v>19</v>
      </c>
      <c r="U25">
        <v>0</v>
      </c>
      <c r="V25">
        <v>0</v>
      </c>
      <c r="W25" t="s">
        <v>40</v>
      </c>
      <c r="X25">
        <v>0.10405258399987299</v>
      </c>
      <c r="Y25">
        <v>19</v>
      </c>
      <c r="Z25">
        <v>0</v>
      </c>
      <c r="AA25">
        <v>0</v>
      </c>
      <c r="AB25" t="s">
        <v>40</v>
      </c>
      <c r="AC25">
        <v>0.30845104099989801</v>
      </c>
      <c r="AD25">
        <v>19</v>
      </c>
      <c r="AE25">
        <v>0</v>
      </c>
      <c r="AF25">
        <v>0</v>
      </c>
    </row>
    <row r="26" spans="1:32" x14ac:dyDescent="0.25">
      <c r="A26">
        <v>7</v>
      </c>
      <c r="B26">
        <v>25</v>
      </c>
      <c r="C26">
        <v>2.04270243644714</v>
      </c>
      <c r="D26" t="s">
        <v>33</v>
      </c>
      <c r="E26">
        <v>18</v>
      </c>
      <c r="F26">
        <v>13.6858465671539</v>
      </c>
      <c r="G26" t="s">
        <v>34</v>
      </c>
      <c r="H26">
        <v>18</v>
      </c>
      <c r="I26">
        <v>43.679955959319997</v>
      </c>
      <c r="J26" t="s">
        <v>35</v>
      </c>
      <c r="K26">
        <v>18</v>
      </c>
      <c r="L26">
        <v>86400.141284465702</v>
      </c>
      <c r="O26">
        <v>4.2986869812011701E-3</v>
      </c>
      <c r="P26" t="s">
        <v>36</v>
      </c>
      <c r="Q26">
        <v>18</v>
      </c>
      <c r="R26" t="s">
        <v>37</v>
      </c>
      <c r="S26">
        <v>5.5771708000065701E-2</v>
      </c>
      <c r="T26">
        <v>18</v>
      </c>
      <c r="U26">
        <v>0</v>
      </c>
      <c r="V26">
        <v>0</v>
      </c>
      <c r="W26" t="s">
        <v>37</v>
      </c>
      <c r="X26">
        <v>0.11870591700062499</v>
      </c>
      <c r="Y26">
        <v>18</v>
      </c>
      <c r="Z26">
        <v>0</v>
      </c>
      <c r="AA26">
        <v>0</v>
      </c>
      <c r="AB26" t="s">
        <v>37</v>
      </c>
      <c r="AC26">
        <v>0.29773333400044</v>
      </c>
      <c r="AD26">
        <v>18</v>
      </c>
      <c r="AE26">
        <v>0</v>
      </c>
      <c r="AF26">
        <v>0</v>
      </c>
    </row>
    <row r="27" spans="1:32" x14ac:dyDescent="0.25">
      <c r="A27">
        <v>9</v>
      </c>
      <c r="B27">
        <v>25</v>
      </c>
      <c r="C27">
        <v>0.31319165229797302</v>
      </c>
      <c r="D27" t="s">
        <v>41</v>
      </c>
      <c r="E27">
        <v>18</v>
      </c>
      <c r="F27">
        <v>27.342374086380001</v>
      </c>
      <c r="G27" t="s">
        <v>42</v>
      </c>
      <c r="H27">
        <v>18</v>
      </c>
      <c r="I27">
        <v>46.145465373992899</v>
      </c>
      <c r="J27" t="s">
        <v>43</v>
      </c>
      <c r="K27">
        <v>18</v>
      </c>
      <c r="L27">
        <v>86400.132020473393</v>
      </c>
      <c r="O27">
        <v>4.4243335723876901E-3</v>
      </c>
      <c r="P27" t="s">
        <v>43</v>
      </c>
      <c r="Q27">
        <v>18</v>
      </c>
      <c r="R27" t="s">
        <v>44</v>
      </c>
      <c r="S27">
        <v>5.66445829999793E-2</v>
      </c>
      <c r="T27">
        <v>18</v>
      </c>
      <c r="U27">
        <v>0</v>
      </c>
      <c r="V27">
        <v>0</v>
      </c>
      <c r="W27" t="s">
        <v>44</v>
      </c>
      <c r="X27">
        <v>9.3496290999610196E-2</v>
      </c>
      <c r="Y27">
        <v>18</v>
      </c>
      <c r="Z27">
        <v>0</v>
      </c>
      <c r="AA27">
        <v>0</v>
      </c>
      <c r="AB27" t="s">
        <v>44</v>
      </c>
      <c r="AC27">
        <v>0.16896749999978</v>
      </c>
      <c r="AD27">
        <v>18</v>
      </c>
      <c r="AE27">
        <v>0</v>
      </c>
      <c r="AF27">
        <v>0</v>
      </c>
    </row>
    <row r="28" spans="1:32" x14ac:dyDescent="0.25">
      <c r="A28">
        <v>1</v>
      </c>
      <c r="B28">
        <v>25</v>
      </c>
      <c r="C28">
        <v>0.17613744735717701</v>
      </c>
      <c r="D28" t="s">
        <v>14</v>
      </c>
      <c r="E28">
        <v>16</v>
      </c>
      <c r="F28">
        <v>13.040886640548701</v>
      </c>
      <c r="G28" t="s">
        <v>14</v>
      </c>
      <c r="H28">
        <v>16</v>
      </c>
      <c r="I28">
        <v>47.8435056209564</v>
      </c>
      <c r="J28" t="s">
        <v>15</v>
      </c>
      <c r="K28">
        <v>16</v>
      </c>
      <c r="L28">
        <v>23232.2081673145</v>
      </c>
      <c r="M28" t="s">
        <v>16</v>
      </c>
      <c r="N28">
        <v>16</v>
      </c>
      <c r="O28">
        <v>1.48313045501708E-2</v>
      </c>
      <c r="P28" t="s">
        <v>14</v>
      </c>
      <c r="Q28">
        <v>16</v>
      </c>
      <c r="R28" t="s">
        <v>17</v>
      </c>
      <c r="S28">
        <v>6.3491874999726805E-2</v>
      </c>
      <c r="T28">
        <v>16</v>
      </c>
      <c r="U28">
        <v>0</v>
      </c>
      <c r="V28">
        <v>0</v>
      </c>
      <c r="W28" t="s">
        <v>17</v>
      </c>
      <c r="X28">
        <v>0.14683254099963899</v>
      </c>
      <c r="Y28">
        <v>16</v>
      </c>
      <c r="Z28">
        <v>0</v>
      </c>
      <c r="AA28">
        <v>0</v>
      </c>
      <c r="AB28" t="s">
        <v>223</v>
      </c>
      <c r="AC28">
        <v>0.29684416700001698</v>
      </c>
      <c r="AD28">
        <v>16</v>
      </c>
      <c r="AE28">
        <v>0</v>
      </c>
      <c r="AF28">
        <v>0</v>
      </c>
    </row>
    <row r="29" spans="1:32" x14ac:dyDescent="0.25">
      <c r="A29">
        <v>14</v>
      </c>
      <c r="B29">
        <v>40</v>
      </c>
      <c r="C29">
        <v>2821.6056025028201</v>
      </c>
      <c r="D29" t="s">
        <v>58</v>
      </c>
      <c r="E29">
        <v>39</v>
      </c>
      <c r="F29">
        <v>49.555662393569897</v>
      </c>
      <c r="G29" t="s">
        <v>58</v>
      </c>
      <c r="H29">
        <v>39</v>
      </c>
      <c r="I29">
        <v>110.51520371437</v>
      </c>
      <c r="J29" t="s">
        <v>59</v>
      </c>
      <c r="K29">
        <v>39</v>
      </c>
      <c r="O29">
        <v>5.0327777862548802E-3</v>
      </c>
      <c r="P29" t="s">
        <v>58</v>
      </c>
      <c r="Q29">
        <v>39</v>
      </c>
      <c r="R29" t="s">
        <v>60</v>
      </c>
      <c r="S29">
        <v>7.4470166000082799E-2</v>
      </c>
      <c r="T29">
        <v>39</v>
      </c>
      <c r="U29">
        <v>0</v>
      </c>
      <c r="V29">
        <v>0</v>
      </c>
      <c r="W29" t="s">
        <v>60</v>
      </c>
      <c r="X29">
        <v>0.88722950099963704</v>
      </c>
      <c r="Y29">
        <v>39</v>
      </c>
      <c r="Z29">
        <v>0</v>
      </c>
      <c r="AA29">
        <v>0</v>
      </c>
      <c r="AB29" t="s">
        <v>60</v>
      </c>
      <c r="AC29">
        <v>4.9841860440001202</v>
      </c>
      <c r="AD29">
        <v>39</v>
      </c>
      <c r="AE29">
        <v>0</v>
      </c>
      <c r="AF29">
        <v>0</v>
      </c>
    </row>
    <row r="30" spans="1:32" x14ac:dyDescent="0.25">
      <c r="A30">
        <v>15</v>
      </c>
      <c r="B30">
        <v>40</v>
      </c>
      <c r="C30">
        <v>19938.966321229898</v>
      </c>
      <c r="D30" t="s">
        <v>61</v>
      </c>
      <c r="E30">
        <v>36</v>
      </c>
      <c r="F30">
        <v>68.489382982254</v>
      </c>
      <c r="G30" t="s">
        <v>61</v>
      </c>
      <c r="H30">
        <v>36</v>
      </c>
      <c r="I30">
        <v>240.73659229278499</v>
      </c>
      <c r="J30" t="s">
        <v>61</v>
      </c>
      <c r="K30">
        <v>36</v>
      </c>
      <c r="O30">
        <v>4.9045085906982396E-3</v>
      </c>
      <c r="P30" t="s">
        <v>61</v>
      </c>
      <c r="Q30">
        <v>36</v>
      </c>
      <c r="R30" t="s">
        <v>62</v>
      </c>
      <c r="S30">
        <v>8.8303416000144297E-2</v>
      </c>
      <c r="T30">
        <v>36</v>
      </c>
      <c r="U30">
        <v>0</v>
      </c>
      <c r="V30">
        <v>0</v>
      </c>
      <c r="W30" t="s">
        <v>62</v>
      </c>
      <c r="X30">
        <v>0.81283458399957398</v>
      </c>
      <c r="Y30">
        <v>36</v>
      </c>
      <c r="Z30">
        <v>0</v>
      </c>
      <c r="AA30">
        <v>0</v>
      </c>
      <c r="AB30" t="s">
        <v>62</v>
      </c>
      <c r="AC30">
        <v>1.8357979590000399</v>
      </c>
      <c r="AD30">
        <v>36</v>
      </c>
      <c r="AE30">
        <v>0</v>
      </c>
      <c r="AF30">
        <v>0</v>
      </c>
    </row>
    <row r="31" spans="1:32" x14ac:dyDescent="0.25">
      <c r="A31">
        <v>19</v>
      </c>
      <c r="B31">
        <v>40</v>
      </c>
      <c r="C31">
        <v>4533.96942925453</v>
      </c>
      <c r="D31" t="s">
        <v>75</v>
      </c>
      <c r="E31">
        <v>34</v>
      </c>
      <c r="F31">
        <v>43.429264545440603</v>
      </c>
      <c r="G31" t="s">
        <v>76</v>
      </c>
      <c r="H31">
        <v>34</v>
      </c>
      <c r="I31">
        <v>184.54431152343699</v>
      </c>
      <c r="J31" t="s">
        <v>76</v>
      </c>
      <c r="K31">
        <v>34</v>
      </c>
      <c r="O31">
        <v>4.7674179077148403E-3</v>
      </c>
      <c r="P31" t="s">
        <v>76</v>
      </c>
      <c r="Q31">
        <v>34</v>
      </c>
      <c r="R31" t="s">
        <v>77</v>
      </c>
      <c r="S31">
        <v>9.3740249999882494E-2</v>
      </c>
      <c r="T31">
        <v>34</v>
      </c>
      <c r="U31">
        <v>0</v>
      </c>
      <c r="V31">
        <v>0</v>
      </c>
      <c r="W31" t="s">
        <v>77</v>
      </c>
      <c r="X31">
        <v>0.79964345899952605</v>
      </c>
      <c r="Y31">
        <v>34</v>
      </c>
      <c r="Z31">
        <v>0</v>
      </c>
      <c r="AA31">
        <v>0</v>
      </c>
      <c r="AB31" t="s">
        <v>226</v>
      </c>
      <c r="AC31">
        <v>3.6631602939996801</v>
      </c>
      <c r="AD31">
        <v>34</v>
      </c>
      <c r="AE31">
        <v>0</v>
      </c>
      <c r="AF31">
        <v>0</v>
      </c>
    </row>
    <row r="32" spans="1:32" x14ac:dyDescent="0.25">
      <c r="A32">
        <v>12</v>
      </c>
      <c r="B32">
        <v>40</v>
      </c>
      <c r="C32">
        <v>10313.590175151799</v>
      </c>
      <c r="D32" t="s">
        <v>54</v>
      </c>
      <c r="E32">
        <v>36</v>
      </c>
      <c r="F32">
        <v>57.669784307479802</v>
      </c>
      <c r="G32" t="s">
        <v>54</v>
      </c>
      <c r="H32">
        <v>36</v>
      </c>
      <c r="I32">
        <v>124.701942443847</v>
      </c>
      <c r="J32" t="s">
        <v>54</v>
      </c>
      <c r="K32">
        <v>36</v>
      </c>
      <c r="O32">
        <v>4.7380924224853498E-3</v>
      </c>
      <c r="P32" t="s">
        <v>54</v>
      </c>
      <c r="Q32">
        <v>36</v>
      </c>
      <c r="R32" t="s">
        <v>55</v>
      </c>
      <c r="S32">
        <v>0.103318750000198</v>
      </c>
      <c r="T32">
        <v>36</v>
      </c>
      <c r="U32">
        <v>0</v>
      </c>
      <c r="V32">
        <v>0</v>
      </c>
      <c r="W32" t="s">
        <v>55</v>
      </c>
      <c r="X32">
        <v>1.5188525009998499</v>
      </c>
      <c r="Y32">
        <v>36</v>
      </c>
      <c r="Z32">
        <v>0</v>
      </c>
      <c r="AA32">
        <v>0</v>
      </c>
      <c r="AB32" t="s">
        <v>55</v>
      </c>
      <c r="AC32">
        <v>4.3989879189994099</v>
      </c>
      <c r="AD32">
        <v>36</v>
      </c>
      <c r="AE32">
        <v>0</v>
      </c>
      <c r="AF32">
        <v>0</v>
      </c>
    </row>
    <row r="33" spans="1:32" x14ac:dyDescent="0.25">
      <c r="A33">
        <v>18</v>
      </c>
      <c r="B33">
        <v>40</v>
      </c>
      <c r="C33">
        <v>3804.9753289222699</v>
      </c>
      <c r="D33" t="s">
        <v>72</v>
      </c>
      <c r="E33">
        <v>38</v>
      </c>
      <c r="F33">
        <v>57.792312145233097</v>
      </c>
      <c r="G33" t="s">
        <v>73</v>
      </c>
      <c r="H33">
        <v>38</v>
      </c>
      <c r="I33">
        <v>132.336965322494</v>
      </c>
      <c r="J33" t="s">
        <v>73</v>
      </c>
      <c r="K33">
        <v>38</v>
      </c>
      <c r="O33">
        <v>5.3415298461914002E-3</v>
      </c>
      <c r="P33" t="s">
        <v>72</v>
      </c>
      <c r="Q33">
        <v>38</v>
      </c>
      <c r="R33" t="s">
        <v>74</v>
      </c>
      <c r="S33">
        <v>0.11625504199992</v>
      </c>
      <c r="T33">
        <v>38</v>
      </c>
      <c r="U33">
        <v>0</v>
      </c>
      <c r="V33">
        <v>0</v>
      </c>
      <c r="W33" t="s">
        <v>74</v>
      </c>
      <c r="X33">
        <v>0.87141316699944504</v>
      </c>
      <c r="Y33">
        <v>38</v>
      </c>
      <c r="Z33">
        <v>0</v>
      </c>
      <c r="AA33">
        <v>0</v>
      </c>
      <c r="AB33" t="s">
        <v>74</v>
      </c>
      <c r="AC33">
        <v>3.1248001260000802</v>
      </c>
      <c r="AD33">
        <v>38</v>
      </c>
      <c r="AE33">
        <v>0</v>
      </c>
      <c r="AF33">
        <v>0</v>
      </c>
    </row>
    <row r="34" spans="1:32" x14ac:dyDescent="0.25">
      <c r="A34">
        <v>13</v>
      </c>
      <c r="B34">
        <v>40</v>
      </c>
      <c r="C34">
        <v>86400.276016235293</v>
      </c>
      <c r="F34">
        <v>92.590262651443396</v>
      </c>
      <c r="G34" t="s">
        <v>36</v>
      </c>
      <c r="H34">
        <v>38</v>
      </c>
      <c r="I34">
        <v>196.18166255950899</v>
      </c>
      <c r="J34" t="s">
        <v>56</v>
      </c>
      <c r="K34">
        <v>38</v>
      </c>
      <c r="O34">
        <v>4.8034191131591797E-3</v>
      </c>
      <c r="P34" t="s">
        <v>56</v>
      </c>
      <c r="Q34">
        <v>38</v>
      </c>
      <c r="R34" t="s">
        <v>57</v>
      </c>
      <c r="S34">
        <v>0.13974787500001101</v>
      </c>
      <c r="T34">
        <v>38</v>
      </c>
      <c r="U34">
        <v>0</v>
      </c>
      <c r="V34">
        <v>0</v>
      </c>
      <c r="W34" t="s">
        <v>57</v>
      </c>
      <c r="X34">
        <v>0.97011229200052096</v>
      </c>
      <c r="Y34">
        <v>38</v>
      </c>
      <c r="Z34">
        <v>0</v>
      </c>
      <c r="AA34">
        <v>0</v>
      </c>
      <c r="AB34" t="s">
        <v>224</v>
      </c>
      <c r="AC34">
        <v>8.9091196710005498</v>
      </c>
      <c r="AD34">
        <v>38</v>
      </c>
      <c r="AE34">
        <v>0</v>
      </c>
      <c r="AF34">
        <v>0</v>
      </c>
    </row>
    <row r="35" spans="1:32" x14ac:dyDescent="0.25">
      <c r="A35">
        <v>27</v>
      </c>
      <c r="B35">
        <v>50</v>
      </c>
      <c r="F35">
        <v>163.08274078369101</v>
      </c>
      <c r="G35" t="s">
        <v>100</v>
      </c>
      <c r="H35">
        <v>46</v>
      </c>
      <c r="I35">
        <v>833.21767520904496</v>
      </c>
      <c r="J35" t="s">
        <v>100</v>
      </c>
      <c r="K35">
        <v>46</v>
      </c>
      <c r="O35">
        <v>5.7203769683837804E-3</v>
      </c>
      <c r="P35" t="s">
        <v>100</v>
      </c>
      <c r="Q35">
        <v>46</v>
      </c>
      <c r="R35" t="s">
        <v>101</v>
      </c>
      <c r="S35">
        <v>0.15869841599987899</v>
      </c>
      <c r="T35">
        <v>46</v>
      </c>
      <c r="U35">
        <v>0</v>
      </c>
      <c r="V35">
        <v>0</v>
      </c>
      <c r="W35" t="s">
        <v>101</v>
      </c>
      <c r="X35">
        <v>1.92413308400045</v>
      </c>
      <c r="Y35">
        <v>46</v>
      </c>
      <c r="Z35">
        <v>0</v>
      </c>
      <c r="AA35">
        <v>0</v>
      </c>
      <c r="AB35" t="s">
        <v>101</v>
      </c>
      <c r="AC35">
        <v>4.00780341800054</v>
      </c>
      <c r="AD35">
        <v>46</v>
      </c>
      <c r="AE35">
        <v>0</v>
      </c>
      <c r="AF35">
        <v>0</v>
      </c>
    </row>
    <row r="36" spans="1:32" x14ac:dyDescent="0.25">
      <c r="A36">
        <v>21</v>
      </c>
      <c r="B36">
        <v>50</v>
      </c>
      <c r="F36">
        <v>148.485704660415</v>
      </c>
      <c r="G36" t="s">
        <v>80</v>
      </c>
      <c r="H36">
        <v>46</v>
      </c>
      <c r="I36">
        <v>742.771787166595</v>
      </c>
      <c r="J36" t="s">
        <v>80</v>
      </c>
      <c r="K36">
        <v>46</v>
      </c>
      <c r="O36">
        <v>5.3641796112060504E-3</v>
      </c>
      <c r="P36" t="s">
        <v>80</v>
      </c>
      <c r="Q36">
        <v>46</v>
      </c>
      <c r="R36" t="s">
        <v>81</v>
      </c>
      <c r="S36">
        <v>0.165316750000329</v>
      </c>
      <c r="T36">
        <v>46</v>
      </c>
      <c r="U36">
        <v>0</v>
      </c>
      <c r="V36">
        <v>0</v>
      </c>
      <c r="W36" t="s">
        <v>81</v>
      </c>
      <c r="X36">
        <v>2.4920137510007399</v>
      </c>
      <c r="Y36">
        <v>46</v>
      </c>
      <c r="Z36">
        <v>0</v>
      </c>
      <c r="AA36">
        <v>0</v>
      </c>
      <c r="AB36" t="s">
        <v>81</v>
      </c>
      <c r="AC36">
        <v>18.430154466999699</v>
      </c>
      <c r="AD36">
        <v>46</v>
      </c>
      <c r="AE36">
        <v>0</v>
      </c>
      <c r="AF36">
        <v>0</v>
      </c>
    </row>
    <row r="37" spans="1:32" x14ac:dyDescent="0.25">
      <c r="A37">
        <v>20</v>
      </c>
      <c r="B37">
        <v>40</v>
      </c>
      <c r="C37">
        <v>86402.942539453506</v>
      </c>
      <c r="F37">
        <v>75.783718585968003</v>
      </c>
      <c r="G37" t="s">
        <v>78</v>
      </c>
      <c r="H37">
        <v>36</v>
      </c>
      <c r="I37">
        <v>272.98981332778902</v>
      </c>
      <c r="J37" t="s">
        <v>78</v>
      </c>
      <c r="K37">
        <v>36</v>
      </c>
      <c r="O37">
        <v>4.8246383666992101E-3</v>
      </c>
      <c r="P37" t="s">
        <v>78</v>
      </c>
      <c r="Q37">
        <v>36</v>
      </c>
      <c r="R37" t="s">
        <v>79</v>
      </c>
      <c r="S37">
        <v>0.202652332999605</v>
      </c>
      <c r="T37">
        <v>36</v>
      </c>
      <c r="U37">
        <v>0</v>
      </c>
      <c r="V37">
        <v>0</v>
      </c>
      <c r="W37" t="s">
        <v>79</v>
      </c>
      <c r="X37">
        <v>1.67325000100026</v>
      </c>
      <c r="Y37">
        <v>36</v>
      </c>
      <c r="Z37">
        <v>0</v>
      </c>
      <c r="AA37">
        <v>0</v>
      </c>
      <c r="AB37" t="s">
        <v>79</v>
      </c>
      <c r="AC37">
        <v>8.0786281290002009</v>
      </c>
      <c r="AD37">
        <v>36</v>
      </c>
      <c r="AE37">
        <v>0</v>
      </c>
      <c r="AF37">
        <v>0</v>
      </c>
    </row>
    <row r="38" spans="1:32" x14ac:dyDescent="0.25">
      <c r="A38">
        <v>30</v>
      </c>
      <c r="B38">
        <v>50</v>
      </c>
      <c r="C38">
        <v>86400.260275602297</v>
      </c>
      <c r="F38">
        <v>155.38067221641501</v>
      </c>
      <c r="G38" t="s">
        <v>108</v>
      </c>
      <c r="H38">
        <v>44</v>
      </c>
      <c r="I38">
        <v>761.49398493766705</v>
      </c>
      <c r="J38" t="s">
        <v>108</v>
      </c>
      <c r="K38">
        <v>44</v>
      </c>
      <c r="O38">
        <v>6.0241222381591797E-3</v>
      </c>
      <c r="P38" t="s">
        <v>108</v>
      </c>
      <c r="Q38">
        <v>44</v>
      </c>
      <c r="R38" t="s">
        <v>109</v>
      </c>
      <c r="S38">
        <v>0.20384345899992601</v>
      </c>
      <c r="T38">
        <v>44</v>
      </c>
      <c r="U38">
        <v>0</v>
      </c>
      <c r="V38">
        <v>0</v>
      </c>
      <c r="W38" t="s">
        <v>109</v>
      </c>
      <c r="X38">
        <v>2.0492544589997101</v>
      </c>
      <c r="Y38">
        <v>44</v>
      </c>
      <c r="Z38">
        <v>0</v>
      </c>
      <c r="AA38">
        <v>0</v>
      </c>
      <c r="AB38" t="s">
        <v>109</v>
      </c>
      <c r="AC38">
        <v>6.93431383700044</v>
      </c>
      <c r="AD38">
        <v>44</v>
      </c>
      <c r="AE38">
        <v>0</v>
      </c>
      <c r="AF38">
        <v>0</v>
      </c>
    </row>
    <row r="39" spans="1:32" x14ac:dyDescent="0.25">
      <c r="A39">
        <v>29</v>
      </c>
      <c r="B39">
        <v>50</v>
      </c>
      <c r="C39">
        <v>86400.255258798599</v>
      </c>
      <c r="F39">
        <v>116.93431019783</v>
      </c>
      <c r="G39" t="s">
        <v>105</v>
      </c>
      <c r="H39">
        <v>47</v>
      </c>
      <c r="I39">
        <v>448.17441725730799</v>
      </c>
      <c r="J39" t="s">
        <v>106</v>
      </c>
      <c r="K39">
        <v>47</v>
      </c>
      <c r="O39">
        <v>5.5742263793945304E-3</v>
      </c>
      <c r="P39" t="s">
        <v>106</v>
      </c>
      <c r="Q39">
        <v>47</v>
      </c>
      <c r="R39" t="s">
        <v>107</v>
      </c>
      <c r="S39">
        <v>0.30268154199984498</v>
      </c>
      <c r="T39">
        <v>47</v>
      </c>
      <c r="U39">
        <v>0</v>
      </c>
      <c r="V39">
        <v>0</v>
      </c>
      <c r="W39" t="s">
        <v>107</v>
      </c>
      <c r="X39">
        <v>3.97414858499996</v>
      </c>
      <c r="Y39">
        <v>47</v>
      </c>
      <c r="Z39">
        <v>0</v>
      </c>
      <c r="AA39">
        <v>0</v>
      </c>
      <c r="AB39" t="s">
        <v>107</v>
      </c>
      <c r="AC39">
        <v>14.789426590000399</v>
      </c>
      <c r="AD39">
        <v>47</v>
      </c>
      <c r="AE39">
        <v>0</v>
      </c>
      <c r="AF39">
        <v>0</v>
      </c>
    </row>
    <row r="40" spans="1:32" x14ac:dyDescent="0.25">
      <c r="A40">
        <v>34</v>
      </c>
      <c r="B40">
        <v>75</v>
      </c>
      <c r="F40">
        <v>797.57793855667103</v>
      </c>
      <c r="G40" t="s">
        <v>117</v>
      </c>
      <c r="H40">
        <v>74</v>
      </c>
      <c r="I40">
        <v>997.39090871810902</v>
      </c>
      <c r="O40">
        <v>7.43985176086425E-3</v>
      </c>
      <c r="P40" t="s">
        <v>118</v>
      </c>
      <c r="Q40">
        <v>74</v>
      </c>
      <c r="R40" t="s">
        <v>119</v>
      </c>
      <c r="S40">
        <v>0.43395962500016999</v>
      </c>
      <c r="T40">
        <v>74</v>
      </c>
      <c r="U40">
        <v>0</v>
      </c>
      <c r="V40">
        <v>0</v>
      </c>
      <c r="W40" t="s">
        <v>119</v>
      </c>
      <c r="X40">
        <v>13.9307466729997</v>
      </c>
      <c r="Y40">
        <v>74</v>
      </c>
      <c r="Z40">
        <v>0</v>
      </c>
      <c r="AA40">
        <v>0</v>
      </c>
      <c r="AB40" t="s">
        <v>119</v>
      </c>
      <c r="AC40">
        <v>85.405975870999995</v>
      </c>
      <c r="AD40">
        <v>74</v>
      </c>
      <c r="AE40">
        <v>0</v>
      </c>
      <c r="AF40">
        <v>0</v>
      </c>
    </row>
    <row r="41" spans="1:32" x14ac:dyDescent="0.25">
      <c r="A41">
        <v>32</v>
      </c>
      <c r="B41">
        <v>75</v>
      </c>
      <c r="F41">
        <v>801.98344182968106</v>
      </c>
      <c r="G41" t="s">
        <v>112</v>
      </c>
      <c r="H41">
        <v>71</v>
      </c>
      <c r="I41">
        <v>990.50533342361405</v>
      </c>
      <c r="O41">
        <v>7.1249008178710903E-3</v>
      </c>
      <c r="P41" t="s">
        <v>112</v>
      </c>
      <c r="Q41">
        <v>71</v>
      </c>
      <c r="R41" t="s">
        <v>113</v>
      </c>
      <c r="S41">
        <v>0.52399945800016201</v>
      </c>
      <c r="T41">
        <v>71</v>
      </c>
      <c r="U41">
        <v>0</v>
      </c>
      <c r="V41">
        <v>0</v>
      </c>
      <c r="W41" t="s">
        <v>113</v>
      </c>
      <c r="X41">
        <v>18.090029300000399</v>
      </c>
      <c r="Y41">
        <v>71</v>
      </c>
      <c r="Z41">
        <v>0</v>
      </c>
      <c r="AA41">
        <v>0</v>
      </c>
      <c r="AB41" t="s">
        <v>113</v>
      </c>
      <c r="AC41">
        <v>96.128000085000096</v>
      </c>
      <c r="AD41">
        <v>71</v>
      </c>
      <c r="AE41">
        <v>0</v>
      </c>
      <c r="AF41">
        <v>0</v>
      </c>
    </row>
    <row r="42" spans="1:32" x14ac:dyDescent="0.25">
      <c r="A42">
        <v>35</v>
      </c>
      <c r="B42">
        <v>75</v>
      </c>
      <c r="F42">
        <v>737.52451467514004</v>
      </c>
      <c r="G42" t="s">
        <v>120</v>
      </c>
      <c r="H42">
        <v>71</v>
      </c>
      <c r="I42">
        <v>947.693143606185</v>
      </c>
      <c r="O42">
        <v>7.4191093444824201E-3</v>
      </c>
      <c r="P42" t="s">
        <v>120</v>
      </c>
      <c r="Q42">
        <v>71</v>
      </c>
      <c r="R42" t="s">
        <v>121</v>
      </c>
      <c r="S42">
        <v>0.73774899999989396</v>
      </c>
      <c r="T42">
        <v>71</v>
      </c>
      <c r="U42">
        <v>0</v>
      </c>
      <c r="V42">
        <v>0</v>
      </c>
      <c r="W42" t="s">
        <v>121</v>
      </c>
      <c r="X42">
        <v>18.773501841999799</v>
      </c>
      <c r="Y42">
        <v>71</v>
      </c>
      <c r="Z42">
        <v>0</v>
      </c>
      <c r="AA42">
        <v>0</v>
      </c>
      <c r="AB42" t="s">
        <v>121</v>
      </c>
      <c r="AC42">
        <v>70.043700572999995</v>
      </c>
      <c r="AD42">
        <v>71</v>
      </c>
      <c r="AE42">
        <v>0</v>
      </c>
      <c r="AF42">
        <v>0</v>
      </c>
    </row>
    <row r="43" spans="1:32" x14ac:dyDescent="0.25">
      <c r="A43">
        <v>31</v>
      </c>
      <c r="B43">
        <v>75</v>
      </c>
      <c r="F43">
        <v>636.51029920578003</v>
      </c>
      <c r="G43" t="s">
        <v>110</v>
      </c>
      <c r="H43">
        <v>71</v>
      </c>
      <c r="I43">
        <v>829.766471147537</v>
      </c>
      <c r="O43">
        <v>7.2510242462158203E-3</v>
      </c>
      <c r="P43" t="s">
        <v>110</v>
      </c>
      <c r="Q43">
        <v>71</v>
      </c>
      <c r="R43" t="s">
        <v>111</v>
      </c>
      <c r="S43">
        <v>0.85136941800010302</v>
      </c>
      <c r="T43">
        <v>71</v>
      </c>
      <c r="U43">
        <v>0</v>
      </c>
      <c r="V43">
        <v>0</v>
      </c>
      <c r="W43" t="s">
        <v>111</v>
      </c>
      <c r="X43">
        <v>13.0287071299999</v>
      </c>
      <c r="Y43">
        <v>71</v>
      </c>
      <c r="Z43">
        <v>0</v>
      </c>
      <c r="AA43">
        <v>0</v>
      </c>
      <c r="AB43" t="s">
        <v>111</v>
      </c>
      <c r="AC43">
        <v>56.528150317999398</v>
      </c>
      <c r="AD43">
        <v>71</v>
      </c>
      <c r="AE43">
        <v>0</v>
      </c>
      <c r="AF43">
        <v>0</v>
      </c>
    </row>
    <row r="44" spans="1:32" x14ac:dyDescent="0.25">
      <c r="A44">
        <v>50</v>
      </c>
      <c r="B44">
        <v>100</v>
      </c>
      <c r="F44">
        <v>2685.71052122116</v>
      </c>
      <c r="G44" t="s">
        <v>163</v>
      </c>
      <c r="H44">
        <v>96</v>
      </c>
      <c r="I44">
        <v>3183.6753487586898</v>
      </c>
      <c r="O44">
        <v>8.8996887207031198E-3</v>
      </c>
      <c r="P44" t="s">
        <v>163</v>
      </c>
      <c r="Q44">
        <v>96</v>
      </c>
      <c r="R44" t="s">
        <v>164</v>
      </c>
      <c r="S44">
        <v>1.1968654590000301</v>
      </c>
      <c r="T44">
        <v>96</v>
      </c>
      <c r="U44">
        <v>0</v>
      </c>
      <c r="V44">
        <v>0</v>
      </c>
      <c r="W44" t="s">
        <v>164</v>
      </c>
      <c r="X44">
        <v>55.732546899999697</v>
      </c>
      <c r="Y44">
        <v>96</v>
      </c>
      <c r="Z44">
        <v>0</v>
      </c>
      <c r="AA44">
        <v>0</v>
      </c>
      <c r="AB44" t="s">
        <v>164</v>
      </c>
      <c r="AC44">
        <v>367.492057958001</v>
      </c>
      <c r="AD44">
        <v>96</v>
      </c>
      <c r="AE44">
        <v>0</v>
      </c>
      <c r="AF44">
        <v>0</v>
      </c>
    </row>
    <row r="45" spans="1:32" x14ac:dyDescent="0.25">
      <c r="A45">
        <v>42</v>
      </c>
      <c r="B45">
        <v>100</v>
      </c>
      <c r="F45">
        <v>2059.7729022502899</v>
      </c>
      <c r="G45" t="s">
        <v>140</v>
      </c>
      <c r="H45">
        <v>97</v>
      </c>
      <c r="I45">
        <v>3022.9244031906101</v>
      </c>
      <c r="O45">
        <v>8.72802734375E-3</v>
      </c>
      <c r="P45" t="s">
        <v>140</v>
      </c>
      <c r="Q45">
        <v>97</v>
      </c>
      <c r="R45" t="s">
        <v>141</v>
      </c>
      <c r="S45">
        <v>1.51752133400032</v>
      </c>
      <c r="T45">
        <v>97</v>
      </c>
      <c r="U45">
        <v>0</v>
      </c>
      <c r="V45">
        <v>0</v>
      </c>
      <c r="W45" t="s">
        <v>141</v>
      </c>
      <c r="X45">
        <v>28.185838387999802</v>
      </c>
      <c r="Y45">
        <v>97</v>
      </c>
      <c r="Z45">
        <v>0</v>
      </c>
      <c r="AA45">
        <v>0</v>
      </c>
      <c r="AB45" t="s">
        <v>141</v>
      </c>
      <c r="AC45">
        <v>203.371497341999</v>
      </c>
      <c r="AD45">
        <v>97</v>
      </c>
      <c r="AE45">
        <v>0</v>
      </c>
      <c r="AF45">
        <v>0</v>
      </c>
    </row>
    <row r="46" spans="1:32" x14ac:dyDescent="0.25">
      <c r="A46">
        <v>45</v>
      </c>
      <c r="B46">
        <v>100</v>
      </c>
      <c r="F46">
        <v>2714.5142743587398</v>
      </c>
      <c r="G46" t="s">
        <v>148</v>
      </c>
      <c r="H46">
        <v>95</v>
      </c>
      <c r="I46">
        <v>3101.1883974075299</v>
      </c>
      <c r="O46">
        <v>8.9101791381835903E-3</v>
      </c>
      <c r="P46" t="s">
        <v>149</v>
      </c>
      <c r="Q46">
        <v>94</v>
      </c>
      <c r="R46" t="s">
        <v>150</v>
      </c>
      <c r="S46">
        <v>2.6582356270000602</v>
      </c>
      <c r="T46">
        <v>95</v>
      </c>
      <c r="U46" s="1">
        <v>-1.4210854715202001E-14</v>
      </c>
      <c r="V46">
        <v>1</v>
      </c>
      <c r="W46" t="s">
        <v>150</v>
      </c>
      <c r="X46">
        <v>77.706257493999999</v>
      </c>
      <c r="Y46">
        <v>95</v>
      </c>
      <c r="Z46" s="1">
        <v>-1.4210854715202001E-14</v>
      </c>
      <c r="AA46">
        <v>1</v>
      </c>
      <c r="AB46" t="s">
        <v>150</v>
      </c>
      <c r="AC46">
        <v>430.75752302799901</v>
      </c>
      <c r="AD46">
        <v>95</v>
      </c>
      <c r="AE46" s="1">
        <v>-1.4210854715202001E-14</v>
      </c>
      <c r="AF46">
        <v>1</v>
      </c>
    </row>
    <row r="47" spans="1:32" x14ac:dyDescent="0.25">
      <c r="A47">
        <v>36</v>
      </c>
      <c r="B47">
        <v>75</v>
      </c>
      <c r="F47">
        <v>12748.104264736099</v>
      </c>
      <c r="G47" t="s">
        <v>122</v>
      </c>
      <c r="H47">
        <v>65</v>
      </c>
      <c r="I47">
        <v>1018.60106301307</v>
      </c>
      <c r="O47">
        <v>7.6315402984619097E-3</v>
      </c>
      <c r="P47" t="s">
        <v>123</v>
      </c>
      <c r="Q47">
        <v>59</v>
      </c>
      <c r="R47" t="s">
        <v>124</v>
      </c>
      <c r="S47">
        <v>0.48733279199996099</v>
      </c>
      <c r="T47">
        <v>64</v>
      </c>
      <c r="U47">
        <v>-1</v>
      </c>
      <c r="V47">
        <v>5</v>
      </c>
      <c r="W47" t="s">
        <v>124</v>
      </c>
      <c r="X47">
        <v>3.9797428349993398</v>
      </c>
      <c r="Y47">
        <v>64</v>
      </c>
      <c r="Z47">
        <v>-1</v>
      </c>
      <c r="AA47">
        <v>5</v>
      </c>
      <c r="AB47" t="s">
        <v>231</v>
      </c>
      <c r="AC47">
        <v>21.245699134999899</v>
      </c>
      <c r="AD47">
        <v>65</v>
      </c>
      <c r="AE47">
        <v>0</v>
      </c>
      <c r="AF47">
        <v>6</v>
      </c>
    </row>
    <row r="48" spans="1:32" x14ac:dyDescent="0.25">
      <c r="A48">
        <v>56</v>
      </c>
      <c r="B48">
        <v>20</v>
      </c>
      <c r="C48">
        <v>2.21915245056152E-2</v>
      </c>
      <c r="D48" t="s">
        <v>185</v>
      </c>
      <c r="E48">
        <v>12</v>
      </c>
      <c r="F48">
        <v>5.0207715034484801</v>
      </c>
      <c r="G48" t="s">
        <v>185</v>
      </c>
      <c r="H48">
        <v>12</v>
      </c>
      <c r="I48">
        <v>9.9536929130554199</v>
      </c>
      <c r="J48" t="s">
        <v>185</v>
      </c>
      <c r="K48">
        <v>12</v>
      </c>
      <c r="L48">
        <v>1258.4213848114</v>
      </c>
      <c r="M48" t="s">
        <v>186</v>
      </c>
      <c r="N48">
        <v>12</v>
      </c>
      <c r="O48">
        <v>3.4809112548828099E-3</v>
      </c>
      <c r="P48" t="s">
        <v>187</v>
      </c>
      <c r="Q48">
        <v>8</v>
      </c>
      <c r="R48" t="s">
        <v>188</v>
      </c>
      <c r="S48">
        <v>5.5611165999834997E-2</v>
      </c>
      <c r="T48">
        <v>11</v>
      </c>
      <c r="U48">
        <v>-1</v>
      </c>
      <c r="V48">
        <v>3</v>
      </c>
      <c r="W48" t="s">
        <v>216</v>
      </c>
      <c r="X48">
        <v>7.3612582999885406E-2</v>
      </c>
      <c r="Y48">
        <v>12</v>
      </c>
      <c r="Z48">
        <v>0</v>
      </c>
      <c r="AA48">
        <v>4</v>
      </c>
      <c r="AB48" t="s">
        <v>216</v>
      </c>
      <c r="AC48">
        <v>0.113710666999395</v>
      </c>
      <c r="AD48">
        <v>12</v>
      </c>
      <c r="AE48">
        <v>0</v>
      </c>
      <c r="AF48">
        <v>4</v>
      </c>
    </row>
    <row r="49" spans="1:32" x14ac:dyDescent="0.25">
      <c r="A49">
        <v>25</v>
      </c>
      <c r="B49">
        <v>50</v>
      </c>
      <c r="F49">
        <v>671.99959683418194</v>
      </c>
      <c r="G49" t="s">
        <v>93</v>
      </c>
      <c r="H49">
        <v>44</v>
      </c>
      <c r="I49">
        <v>2373.39980578422</v>
      </c>
      <c r="J49" t="s">
        <v>94</v>
      </c>
      <c r="K49">
        <v>44</v>
      </c>
      <c r="O49">
        <v>5.7797431945800703E-3</v>
      </c>
      <c r="P49" t="s">
        <v>95</v>
      </c>
      <c r="Q49">
        <v>42</v>
      </c>
      <c r="R49" t="s">
        <v>96</v>
      </c>
      <c r="S49">
        <v>0.193798458999935</v>
      </c>
      <c r="T49">
        <v>43</v>
      </c>
      <c r="U49">
        <v>-1</v>
      </c>
      <c r="V49">
        <v>1</v>
      </c>
      <c r="W49" t="s">
        <v>210</v>
      </c>
      <c r="X49">
        <v>2.47690783400048</v>
      </c>
      <c r="Y49">
        <v>44</v>
      </c>
      <c r="Z49">
        <v>0</v>
      </c>
      <c r="AA49">
        <v>2</v>
      </c>
      <c r="AB49" t="s">
        <v>229</v>
      </c>
      <c r="AC49">
        <v>13.3802078809994</v>
      </c>
      <c r="AD49">
        <v>44</v>
      </c>
      <c r="AE49">
        <v>0</v>
      </c>
      <c r="AF49">
        <v>2</v>
      </c>
    </row>
    <row r="50" spans="1:32" x14ac:dyDescent="0.25">
      <c r="A50">
        <v>46</v>
      </c>
      <c r="B50">
        <v>100</v>
      </c>
      <c r="F50">
        <v>3459.2452313899898</v>
      </c>
      <c r="G50" t="s">
        <v>151</v>
      </c>
      <c r="H50">
        <v>94</v>
      </c>
      <c r="I50">
        <v>3352.1920790672302</v>
      </c>
      <c r="O50">
        <v>8.9771747589111293E-3</v>
      </c>
      <c r="P50" t="s">
        <v>152</v>
      </c>
      <c r="Q50">
        <v>92</v>
      </c>
      <c r="R50" t="s">
        <v>153</v>
      </c>
      <c r="S50">
        <v>1.88445083500027</v>
      </c>
      <c r="T50">
        <v>93</v>
      </c>
      <c r="U50">
        <v>-1</v>
      </c>
      <c r="V50">
        <v>1</v>
      </c>
      <c r="W50" t="s">
        <v>153</v>
      </c>
      <c r="X50">
        <v>33.318394347999799</v>
      </c>
      <c r="Y50">
        <v>93</v>
      </c>
      <c r="Z50">
        <v>-1</v>
      </c>
      <c r="AA50">
        <v>1</v>
      </c>
      <c r="AB50" t="s">
        <v>232</v>
      </c>
      <c r="AC50">
        <v>142.233111815001</v>
      </c>
      <c r="AD50">
        <v>94</v>
      </c>
      <c r="AE50">
        <v>0</v>
      </c>
      <c r="AF50">
        <v>2</v>
      </c>
    </row>
    <row r="51" spans="1:32" x14ac:dyDescent="0.25">
      <c r="A51">
        <v>59</v>
      </c>
      <c r="B51">
        <v>20</v>
      </c>
      <c r="C51">
        <v>0.38172149658203097</v>
      </c>
      <c r="D51" t="s">
        <v>195</v>
      </c>
      <c r="E51">
        <v>18</v>
      </c>
      <c r="F51">
        <v>5.1801760196685702</v>
      </c>
      <c r="G51" t="s">
        <v>195</v>
      </c>
      <c r="H51">
        <v>18</v>
      </c>
      <c r="I51">
        <v>9.8184607028961093</v>
      </c>
      <c r="J51" t="s">
        <v>195</v>
      </c>
      <c r="K51">
        <v>18</v>
      </c>
      <c r="L51">
        <v>2838.11518716812</v>
      </c>
      <c r="M51" t="s">
        <v>196</v>
      </c>
      <c r="N51">
        <v>18</v>
      </c>
      <c r="O51">
        <v>3.4942626953125E-3</v>
      </c>
      <c r="P51" t="s">
        <v>197</v>
      </c>
      <c r="Q51">
        <v>17</v>
      </c>
      <c r="R51" t="s">
        <v>198</v>
      </c>
      <c r="S51">
        <v>1.50465840001743E-2</v>
      </c>
      <c r="T51">
        <v>17</v>
      </c>
      <c r="U51">
        <v>-1</v>
      </c>
      <c r="V51">
        <v>0</v>
      </c>
      <c r="W51" t="s">
        <v>198</v>
      </c>
      <c r="X51">
        <v>7.1703583000271395E-2</v>
      </c>
      <c r="Y51">
        <v>17</v>
      </c>
      <c r="Z51">
        <v>-1</v>
      </c>
      <c r="AA51">
        <v>0</v>
      </c>
      <c r="AB51" t="s">
        <v>198</v>
      </c>
      <c r="AC51">
        <v>0.18527125100081299</v>
      </c>
      <c r="AD51">
        <v>17</v>
      </c>
      <c r="AE51">
        <v>-1</v>
      </c>
      <c r="AF51">
        <v>0</v>
      </c>
    </row>
    <row r="52" spans="1:32" x14ac:dyDescent="0.25">
      <c r="A52">
        <v>4</v>
      </c>
      <c r="B52">
        <v>25</v>
      </c>
      <c r="C52">
        <v>0.351595878601074</v>
      </c>
      <c r="D52" t="s">
        <v>24</v>
      </c>
      <c r="E52">
        <v>18</v>
      </c>
      <c r="F52">
        <v>8.5404961109161306</v>
      </c>
      <c r="G52" t="s">
        <v>24</v>
      </c>
      <c r="H52">
        <v>18</v>
      </c>
      <c r="I52">
        <v>27.0141856670379</v>
      </c>
      <c r="J52" t="s">
        <v>24</v>
      </c>
      <c r="K52">
        <v>18</v>
      </c>
      <c r="L52">
        <v>79622.901596307696</v>
      </c>
      <c r="M52" t="s">
        <v>25</v>
      </c>
      <c r="N52">
        <v>18</v>
      </c>
      <c r="O52">
        <v>4.1053295135498004E-3</v>
      </c>
      <c r="P52" t="s">
        <v>26</v>
      </c>
      <c r="Q52">
        <v>17</v>
      </c>
      <c r="R52" t="s">
        <v>27</v>
      </c>
      <c r="S52">
        <v>5.1364457999625301E-2</v>
      </c>
      <c r="T52">
        <v>17</v>
      </c>
      <c r="U52">
        <v>-1</v>
      </c>
      <c r="V52">
        <v>0</v>
      </c>
      <c r="W52" t="s">
        <v>27</v>
      </c>
      <c r="X52">
        <v>5.12649590000364E-2</v>
      </c>
      <c r="Y52">
        <v>17</v>
      </c>
      <c r="Z52">
        <v>-1</v>
      </c>
      <c r="AA52">
        <v>0</v>
      </c>
      <c r="AB52" t="s">
        <v>27</v>
      </c>
      <c r="AC52">
        <v>0.151434417000018</v>
      </c>
      <c r="AD52">
        <v>17</v>
      </c>
      <c r="AE52">
        <v>-1</v>
      </c>
      <c r="AF52">
        <v>0</v>
      </c>
    </row>
    <row r="53" spans="1:32" x14ac:dyDescent="0.25">
      <c r="A53">
        <v>17</v>
      </c>
      <c r="B53">
        <v>40</v>
      </c>
      <c r="C53">
        <v>3930.6082119941698</v>
      </c>
      <c r="D53" t="s">
        <v>68</v>
      </c>
      <c r="E53">
        <v>36</v>
      </c>
      <c r="F53">
        <v>58.510285615920999</v>
      </c>
      <c r="G53" t="s">
        <v>69</v>
      </c>
      <c r="H53">
        <v>36</v>
      </c>
      <c r="I53">
        <v>241.108869075775</v>
      </c>
      <c r="J53" t="s">
        <v>68</v>
      </c>
      <c r="K53">
        <v>36</v>
      </c>
      <c r="O53">
        <v>4.7316551208495998E-3</v>
      </c>
      <c r="P53" t="s">
        <v>70</v>
      </c>
      <c r="Q53">
        <v>35</v>
      </c>
      <c r="R53" t="s">
        <v>71</v>
      </c>
      <c r="S53">
        <v>0.116587292000076</v>
      </c>
      <c r="T53">
        <v>35</v>
      </c>
      <c r="U53">
        <v>-1</v>
      </c>
      <c r="V53">
        <v>0</v>
      </c>
      <c r="W53" t="s">
        <v>207</v>
      </c>
      <c r="X53">
        <v>1.0260740840003499</v>
      </c>
      <c r="Y53">
        <v>36</v>
      </c>
      <c r="Z53">
        <v>0</v>
      </c>
      <c r="AA53">
        <v>1</v>
      </c>
      <c r="AB53" t="s">
        <v>225</v>
      </c>
      <c r="AC53">
        <v>2.1229899179998002</v>
      </c>
      <c r="AD53">
        <v>36</v>
      </c>
      <c r="AE53">
        <v>0</v>
      </c>
      <c r="AF53">
        <v>1</v>
      </c>
    </row>
    <row r="54" spans="1:32" x14ac:dyDescent="0.25">
      <c r="A54">
        <v>28</v>
      </c>
      <c r="B54">
        <v>50</v>
      </c>
      <c r="F54">
        <v>133.62734746932901</v>
      </c>
      <c r="G54" t="s">
        <v>102</v>
      </c>
      <c r="H54">
        <v>47</v>
      </c>
      <c r="I54">
        <v>517.27748632430996</v>
      </c>
      <c r="J54" t="s">
        <v>102</v>
      </c>
      <c r="K54">
        <v>47</v>
      </c>
      <c r="O54">
        <v>5.7938098907470703E-3</v>
      </c>
      <c r="P54" t="s">
        <v>103</v>
      </c>
      <c r="Q54">
        <v>46</v>
      </c>
      <c r="R54" t="s">
        <v>104</v>
      </c>
      <c r="S54">
        <v>0.25469179199990299</v>
      </c>
      <c r="T54">
        <v>46</v>
      </c>
      <c r="U54">
        <v>-1</v>
      </c>
      <c r="V54">
        <v>0</v>
      </c>
      <c r="W54" t="s">
        <v>104</v>
      </c>
      <c r="X54">
        <v>2.8002696270004801</v>
      </c>
      <c r="Y54">
        <v>46</v>
      </c>
      <c r="Z54">
        <v>-1</v>
      </c>
      <c r="AA54">
        <v>0</v>
      </c>
      <c r="AB54" t="s">
        <v>230</v>
      </c>
      <c r="AC54">
        <v>7.0354148360002</v>
      </c>
      <c r="AD54">
        <v>47</v>
      </c>
      <c r="AE54">
        <v>0</v>
      </c>
      <c r="AF54">
        <v>1</v>
      </c>
    </row>
    <row r="55" spans="1:32" x14ac:dyDescent="0.25">
      <c r="A55">
        <v>23</v>
      </c>
      <c r="B55">
        <v>50</v>
      </c>
      <c r="F55">
        <v>163.80628585815401</v>
      </c>
      <c r="G55" t="s">
        <v>85</v>
      </c>
      <c r="H55">
        <v>48</v>
      </c>
      <c r="I55">
        <v>625.075266361236</v>
      </c>
      <c r="J55" t="s">
        <v>86</v>
      </c>
      <c r="K55">
        <v>48</v>
      </c>
      <c r="O55">
        <v>5.6612491607665998E-3</v>
      </c>
      <c r="P55" t="s">
        <v>87</v>
      </c>
      <c r="Q55">
        <v>47</v>
      </c>
      <c r="R55" t="s">
        <v>88</v>
      </c>
      <c r="S55">
        <v>0.33562787599976202</v>
      </c>
      <c r="T55">
        <v>47</v>
      </c>
      <c r="U55">
        <v>-1</v>
      </c>
      <c r="V55">
        <v>0</v>
      </c>
      <c r="W55" t="s">
        <v>208</v>
      </c>
      <c r="X55">
        <v>3.28088875100002</v>
      </c>
      <c r="Y55">
        <v>48</v>
      </c>
      <c r="Z55">
        <v>0</v>
      </c>
      <c r="AA55">
        <v>1</v>
      </c>
      <c r="AB55" t="s">
        <v>227</v>
      </c>
      <c r="AC55">
        <v>20.098683342000101</v>
      </c>
      <c r="AD55">
        <v>48</v>
      </c>
      <c r="AE55">
        <v>0</v>
      </c>
      <c r="AF55">
        <v>1</v>
      </c>
    </row>
    <row r="56" spans="1:32" x14ac:dyDescent="0.25">
      <c r="A56">
        <v>51</v>
      </c>
      <c r="B56">
        <v>20</v>
      </c>
      <c r="C56">
        <v>6.68661594390869E-2</v>
      </c>
      <c r="D56" t="s">
        <v>165</v>
      </c>
      <c r="E56">
        <v>11</v>
      </c>
      <c r="F56">
        <v>9.0063676834106392</v>
      </c>
      <c r="G56" t="s">
        <v>165</v>
      </c>
      <c r="H56">
        <v>11</v>
      </c>
      <c r="I56">
        <v>15.144894361495901</v>
      </c>
      <c r="J56" t="s">
        <v>166</v>
      </c>
      <c r="K56">
        <v>11</v>
      </c>
      <c r="L56">
        <v>26759.819811105699</v>
      </c>
      <c r="M56" t="s">
        <v>167</v>
      </c>
      <c r="N56">
        <v>11</v>
      </c>
      <c r="O56">
        <v>4.2831897735595703E-3</v>
      </c>
      <c r="P56" t="s">
        <v>168</v>
      </c>
      <c r="Q56">
        <v>10</v>
      </c>
      <c r="R56" t="s">
        <v>169</v>
      </c>
      <c r="S56">
        <v>4.4080166999719901E-2</v>
      </c>
      <c r="T56">
        <v>9</v>
      </c>
      <c r="U56">
        <v>-2</v>
      </c>
      <c r="V56">
        <v>-1</v>
      </c>
      <c r="W56" t="s">
        <v>214</v>
      </c>
      <c r="X56">
        <v>7.0189584000218005E-2</v>
      </c>
      <c r="Y56">
        <v>11</v>
      </c>
      <c r="Z56">
        <v>0</v>
      </c>
      <c r="AA56">
        <v>1</v>
      </c>
      <c r="AB56" t="s">
        <v>214</v>
      </c>
      <c r="AC56">
        <v>0.102808667001227</v>
      </c>
      <c r="AD56">
        <v>11</v>
      </c>
      <c r="AE56">
        <v>0</v>
      </c>
      <c r="AF56">
        <v>1</v>
      </c>
    </row>
    <row r="57" spans="1:32" x14ac:dyDescent="0.25">
      <c r="A57">
        <v>40</v>
      </c>
      <c r="B57">
        <v>75</v>
      </c>
      <c r="F57">
        <v>1306.3808846473601</v>
      </c>
      <c r="G57" t="s">
        <v>134</v>
      </c>
      <c r="H57">
        <v>69</v>
      </c>
      <c r="I57">
        <v>895.20780110359101</v>
      </c>
      <c r="O57">
        <v>7.6365470886230399E-3</v>
      </c>
      <c r="P57" t="s">
        <v>135</v>
      </c>
      <c r="Q57">
        <v>62</v>
      </c>
      <c r="R57" t="s">
        <v>136</v>
      </c>
      <c r="S57">
        <v>1.2455521669999099</v>
      </c>
      <c r="T57">
        <v>64</v>
      </c>
      <c r="U57">
        <v>-5</v>
      </c>
      <c r="V57">
        <v>2</v>
      </c>
      <c r="W57" t="s">
        <v>213</v>
      </c>
      <c r="X57">
        <v>6.0642318359996299</v>
      </c>
      <c r="Y57">
        <v>68</v>
      </c>
      <c r="Z57">
        <v>-1</v>
      </c>
      <c r="AA57">
        <v>6</v>
      </c>
      <c r="AB57" t="s">
        <v>213</v>
      </c>
      <c r="AC57">
        <v>40.264259976998801</v>
      </c>
      <c r="AD57">
        <v>68</v>
      </c>
      <c r="AE57">
        <v>-1</v>
      </c>
      <c r="AF57">
        <v>6</v>
      </c>
    </row>
    <row r="58" spans="1:32" x14ac:dyDescent="0.25">
      <c r="A58">
        <v>39</v>
      </c>
      <c r="B58">
        <v>75</v>
      </c>
      <c r="F58">
        <v>499.41710233688298</v>
      </c>
      <c r="G58" t="s">
        <v>131</v>
      </c>
      <c r="H58">
        <v>69</v>
      </c>
      <c r="I58">
        <v>660.48236823081902</v>
      </c>
      <c r="O58">
        <v>7.1530342102050703E-3</v>
      </c>
      <c r="P58" t="s">
        <v>132</v>
      </c>
      <c r="Q58">
        <v>68</v>
      </c>
      <c r="R58" t="s">
        <v>133</v>
      </c>
      <c r="S58">
        <v>0.74755229199990902</v>
      </c>
      <c r="T58">
        <v>64</v>
      </c>
      <c r="U58">
        <v>-5</v>
      </c>
      <c r="V58">
        <v>-4</v>
      </c>
      <c r="W58" t="s">
        <v>212</v>
      </c>
      <c r="X58">
        <v>6.8716945449996203</v>
      </c>
      <c r="Y58">
        <v>69</v>
      </c>
      <c r="Z58">
        <v>0</v>
      </c>
      <c r="AA58">
        <v>1</v>
      </c>
      <c r="AB58" t="s">
        <v>212</v>
      </c>
      <c r="AC58">
        <v>37.626907600000699</v>
      </c>
      <c r="AD58">
        <v>69</v>
      </c>
      <c r="AE58">
        <v>0</v>
      </c>
      <c r="AF58">
        <v>1</v>
      </c>
    </row>
    <row r="59" spans="1:32" s="5" customFormat="1" x14ac:dyDescent="0.25">
      <c r="A59" s="5">
        <v>55</v>
      </c>
      <c r="B59" s="5">
        <v>20</v>
      </c>
      <c r="C59" s="5">
        <v>6.2480211257934501E-2</v>
      </c>
      <c r="D59" s="5" t="s">
        <v>182</v>
      </c>
      <c r="E59" s="5">
        <v>15</v>
      </c>
      <c r="F59" s="5">
        <v>2.9986371994018501</v>
      </c>
      <c r="G59" s="5" t="s">
        <v>182</v>
      </c>
      <c r="H59" s="5">
        <v>15</v>
      </c>
      <c r="I59" s="5">
        <v>6.3127932548522896</v>
      </c>
      <c r="J59" s="5" t="s">
        <v>182</v>
      </c>
      <c r="K59" s="5">
        <v>15</v>
      </c>
      <c r="L59" s="5">
        <v>1248.4967966079701</v>
      </c>
      <c r="M59" s="5" t="s">
        <v>183</v>
      </c>
      <c r="N59" s="5">
        <v>15</v>
      </c>
      <c r="O59" s="5">
        <v>3.5791397094726502E-3</v>
      </c>
      <c r="P59" s="5" t="s">
        <v>182</v>
      </c>
      <c r="Q59" s="5">
        <v>15</v>
      </c>
      <c r="R59" s="5" t="s">
        <v>184</v>
      </c>
      <c r="S59" s="5">
        <v>6.6444000000046799E-2</v>
      </c>
      <c r="T59" s="5">
        <v>10</v>
      </c>
      <c r="U59" s="5">
        <v>-5</v>
      </c>
      <c r="V59" s="5">
        <v>-5</v>
      </c>
      <c r="W59" s="5" t="s">
        <v>215</v>
      </c>
      <c r="X59" s="5">
        <v>4.1546958999788303E-2</v>
      </c>
      <c r="Y59" s="5">
        <v>15</v>
      </c>
      <c r="Z59" s="5">
        <v>0</v>
      </c>
      <c r="AA59" s="5">
        <v>0</v>
      </c>
      <c r="AB59" s="5" t="s">
        <v>215</v>
      </c>
      <c r="AC59" s="5">
        <v>9.9966666999534895E-2</v>
      </c>
      <c r="AD59" s="5">
        <v>15</v>
      </c>
      <c r="AE59" s="5">
        <v>0</v>
      </c>
      <c r="AF59" s="5">
        <v>0</v>
      </c>
    </row>
    <row r="60" spans="1:32" x14ac:dyDescent="0.25">
      <c r="A60">
        <v>16</v>
      </c>
      <c r="B60">
        <v>40</v>
      </c>
      <c r="C60">
        <v>430.32573366165099</v>
      </c>
      <c r="D60" t="s">
        <v>63</v>
      </c>
      <c r="E60">
        <v>34</v>
      </c>
      <c r="F60">
        <v>58.673640489578197</v>
      </c>
      <c r="G60" t="s">
        <v>64</v>
      </c>
      <c r="H60">
        <v>34</v>
      </c>
      <c r="I60">
        <v>262.88486266136101</v>
      </c>
      <c r="J60" t="s">
        <v>65</v>
      </c>
      <c r="K60">
        <v>34</v>
      </c>
      <c r="O60">
        <v>4.8835277557373004E-3</v>
      </c>
      <c r="P60" t="s">
        <v>66</v>
      </c>
      <c r="Q60">
        <v>33</v>
      </c>
      <c r="R60" t="s">
        <v>67</v>
      </c>
      <c r="S60">
        <v>0.20691229200019701</v>
      </c>
      <c r="T60">
        <v>26</v>
      </c>
      <c r="U60">
        <v>-8</v>
      </c>
      <c r="V60">
        <v>-7</v>
      </c>
      <c r="W60" t="s">
        <v>206</v>
      </c>
      <c r="X60">
        <v>1.18243399999937</v>
      </c>
      <c r="Y60">
        <v>34</v>
      </c>
      <c r="Z60">
        <v>0</v>
      </c>
      <c r="AA60">
        <v>1</v>
      </c>
      <c r="AB60" t="s">
        <v>206</v>
      </c>
      <c r="AC60">
        <v>3.3875301259995401</v>
      </c>
      <c r="AD60">
        <v>34</v>
      </c>
      <c r="AE60">
        <v>0</v>
      </c>
      <c r="AF60">
        <v>1</v>
      </c>
    </row>
    <row r="61" spans="1:32" x14ac:dyDescent="0.25">
      <c r="A61">
        <v>38</v>
      </c>
      <c r="B61">
        <v>75</v>
      </c>
      <c r="F61">
        <v>966.47409462928704</v>
      </c>
      <c r="G61" t="s">
        <v>128</v>
      </c>
      <c r="H61">
        <v>73</v>
      </c>
      <c r="I61">
        <v>1181.8140380382499</v>
      </c>
      <c r="O61">
        <v>6.7458152770995998E-3</v>
      </c>
      <c r="P61" t="s">
        <v>129</v>
      </c>
      <c r="Q61">
        <v>72</v>
      </c>
      <c r="R61" t="s">
        <v>130</v>
      </c>
      <c r="S61">
        <v>7.0090071280001203</v>
      </c>
      <c r="T61">
        <v>59</v>
      </c>
      <c r="U61">
        <v>-14</v>
      </c>
      <c r="V61">
        <v>-13</v>
      </c>
      <c r="W61" t="s">
        <v>211</v>
      </c>
      <c r="X61">
        <v>30.645577221999702</v>
      </c>
      <c r="Y61">
        <v>73</v>
      </c>
      <c r="Z61">
        <v>0</v>
      </c>
      <c r="AA61">
        <v>1</v>
      </c>
      <c r="AB61" t="s">
        <v>211</v>
      </c>
      <c r="AC61">
        <v>236.93741298399999</v>
      </c>
      <c r="AD61">
        <v>73</v>
      </c>
      <c r="AE61">
        <v>0</v>
      </c>
      <c r="AF6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4A7D9-29A4-43B1-B1C6-F7F43184D58B}">
  <dimension ref="A1:J18"/>
  <sheetViews>
    <sheetView topLeftCell="D1" workbookViewId="0">
      <selection activeCell="F19" sqref="F19"/>
    </sheetView>
  </sheetViews>
  <sheetFormatPr defaultRowHeight="15" x14ac:dyDescent="0.25"/>
  <cols>
    <col min="2" max="2" width="12.28515625" customWidth="1"/>
    <col min="3" max="3" width="35" bestFit="1" customWidth="1"/>
    <col min="4" max="6" width="33.42578125" customWidth="1"/>
    <col min="7" max="8" width="24.85546875" customWidth="1"/>
    <col min="9" max="9" width="23" customWidth="1"/>
  </cols>
  <sheetData>
    <row r="1" spans="1:10" x14ac:dyDescent="0.25">
      <c r="A1" t="s">
        <v>241</v>
      </c>
      <c r="B1" t="s">
        <v>242</v>
      </c>
      <c r="C1" t="s">
        <v>243</v>
      </c>
      <c r="D1" t="s">
        <v>238</v>
      </c>
      <c r="E1" t="s">
        <v>239</v>
      </c>
      <c r="F1" t="s">
        <v>240</v>
      </c>
      <c r="G1" s="2" t="s">
        <v>265</v>
      </c>
      <c r="H1" s="2" t="s">
        <v>266</v>
      </c>
      <c r="I1" s="2" t="s">
        <v>267</v>
      </c>
      <c r="J1" t="s">
        <v>268</v>
      </c>
    </row>
    <row r="2" spans="1:10" x14ac:dyDescent="0.25">
      <c r="A2">
        <v>20</v>
      </c>
      <c r="B2">
        <f>COUNTIF(compare_results_1_nodes!B:B,comparaciones!A2)</f>
        <v>10</v>
      </c>
      <c r="C2" s="3">
        <f>AVERAGEIF(Table2[n_nodes],Table1[[#This Row],[Nodos]],Table2[optimal_iqcp])</f>
        <v>14.7</v>
      </c>
      <c r="D2" s="3">
        <f>AVERAGEIF(Table2[n_nodes],Table1[[#This Row],[Nodos]],Table2[optimal_rollout k=1])</f>
        <v>13.8</v>
      </c>
      <c r="E2" s="3">
        <f>AVERAGEIF(Table2[n_nodes],Table1[[#This Row],[Nodos]],Table2[optimal_rollout k=2])</f>
        <v>14.6</v>
      </c>
      <c r="F2" s="3">
        <f>AVERAGEIF(Table2[n_nodes],Table1[[#This Row],[Nodos]],Table2[optimal_rollout k=3])</f>
        <v>14.6</v>
      </c>
      <c r="G2" s="3">
        <f>((Table1[[#This Row],[Prom. Nodos salvados óptimo IQCP]]-Table1[[#This Row],[Prom. Nodos salvados Rollout k=1]])/Table1[[#This Row],[Prom. Nodos salvados óptimo IQCP]])*100</f>
        <v>6.1224489795918275</v>
      </c>
      <c r="H2" s="3">
        <f>((Table1[[#This Row],[Prom. Nodos salvados óptimo IQCP]]-Table1[[#This Row],[Prom. Nodos salvados Rollout k=2]])/Table1[[#This Row],[Prom. Nodos salvados óptimo IQCP]])*100</f>
        <v>0.68027210884353506</v>
      </c>
      <c r="I2" s="3">
        <f>((Table1[[#This Row],[Prom. Nodos salvados óptimo IQCP]]-Table1[[#This Row],[Prom. Nodos salvados Rollout k=3]])/Table1[[#This Row],[Prom. Nodos salvados óptimo IQCP]])*100</f>
        <v>0.68027210884353506</v>
      </c>
      <c r="J2" s="3">
        <f>AVERAGEIF(Table2[n_nodes],Table1[[#This Row],[Nodos]],Table2[optimal_greedy])</f>
        <v>13.8</v>
      </c>
    </row>
    <row r="3" spans="1:10" x14ac:dyDescent="0.25">
      <c r="A3">
        <v>25</v>
      </c>
      <c r="B3">
        <f>COUNTIF(compare_results_1_nodes!B:B,comparaciones!A3)</f>
        <v>10</v>
      </c>
      <c r="C3" s="3">
        <f>AVERAGEIF(Table2[n_nodes],Table1[[#This Row],[Nodos]],Table2[optimal_iqcp])</f>
        <v>19.100000000000001</v>
      </c>
      <c r="D3" s="3">
        <f>AVERAGEIF(Table2[n_nodes],Table1[[#This Row],[Nodos]],Table2[optimal_rollout k=1])</f>
        <v>19</v>
      </c>
      <c r="E3" s="3">
        <f>AVERAGEIF(Table2[n_nodes],Table1[[#This Row],[Nodos]],Table2[optimal_rollout k=2])</f>
        <v>19</v>
      </c>
      <c r="F3" s="3">
        <f>AVERAGEIF(Table2[n_nodes],Table1[[#This Row],[Nodos]],Table2[optimal_rollout k=3])</f>
        <v>19</v>
      </c>
      <c r="G3" s="3">
        <f>((Table1[[#This Row],[Prom. Nodos salvados óptimo IQCP]]-Table1[[#This Row],[Prom. Nodos salvados Rollout k=1]])/Table1[[#This Row],[Prom. Nodos salvados óptimo IQCP]])*100</f>
        <v>0.52356020942409121</v>
      </c>
      <c r="H3" s="3">
        <f>((Table1[[#This Row],[Prom. Nodos salvados óptimo IQCP]]-Table1[[#This Row],[Prom. Nodos salvados Rollout k=2]])/Table1[[#This Row],[Prom. Nodos salvados óptimo IQCP]])*100</f>
        <v>0.52356020942409121</v>
      </c>
      <c r="I3" s="3">
        <f>((Table1[[#This Row],[Prom. Nodos salvados óptimo IQCP]]-Table1[[#This Row],[Prom. Nodos salvados Rollout k=3]])/Table1[[#This Row],[Prom. Nodos salvados óptimo IQCP]])*100</f>
        <v>0.52356020942409121</v>
      </c>
      <c r="J3" s="3">
        <f>AVERAGEIF(Table2[n_nodes],Table1[[#This Row],[Nodos]],Table2[optimal_greedy])</f>
        <v>18.100000000000001</v>
      </c>
    </row>
    <row r="4" spans="1:10" x14ac:dyDescent="0.25">
      <c r="A4">
        <v>40</v>
      </c>
      <c r="B4">
        <f>COUNTIF(compare_results_1_nodes!B:B,comparaciones!A4)</f>
        <v>10</v>
      </c>
      <c r="C4" s="3">
        <f>AVERAGEIF(Table2[n_nodes],Table1[[#This Row],[Nodos]],Table2[optimal_iqcp])</f>
        <v>36.299999999999997</v>
      </c>
      <c r="D4" s="3">
        <f>AVERAGEIF(Table2[n_nodes],Table1[[#This Row],[Nodos]],Table2[optimal_rollout k=1])</f>
        <v>35.4</v>
      </c>
      <c r="E4" s="3">
        <f>AVERAGEIF(Table2[n_nodes],Table1[[#This Row],[Nodos]],Table2[optimal_rollout k=2])</f>
        <v>36.299999999999997</v>
      </c>
      <c r="F4" s="3">
        <f>AVERAGEIF(Table2[n_nodes],Table1[[#This Row],[Nodos]],Table2[optimal_rollout k=3])</f>
        <v>36.299999999999997</v>
      </c>
      <c r="G4" s="3">
        <f>((Table1[[#This Row],[Prom. Nodos salvados óptimo IQCP]]-Table1[[#This Row],[Prom. Nodos salvados Rollout k=1]])/Table1[[#This Row],[Prom. Nodos salvados óptimo IQCP]])*100</f>
        <v>2.4793388429752028</v>
      </c>
      <c r="H4" s="3">
        <f>((Table1[[#This Row],[Prom. Nodos salvados óptimo IQCP]]-Table1[[#This Row],[Prom. Nodos salvados Rollout k=2]])/Table1[[#This Row],[Prom. Nodos salvados óptimo IQCP]])*100</f>
        <v>0</v>
      </c>
      <c r="I4" s="3">
        <f>((Table1[[#This Row],[Prom. Nodos salvados óptimo IQCP]]-Table1[[#This Row],[Prom. Nodos salvados Rollout k=3]])/Table1[[#This Row],[Prom. Nodos salvados óptimo IQCP]])*100</f>
        <v>0</v>
      </c>
      <c r="J4" s="3">
        <f>AVERAGEIF(Table2[n_nodes],Table1[[#This Row],[Nodos]],Table2[optimal_greedy])</f>
        <v>35.6</v>
      </c>
    </row>
    <row r="5" spans="1:10" x14ac:dyDescent="0.25">
      <c r="A5">
        <v>50</v>
      </c>
      <c r="B5">
        <f>COUNTIF(compare_results_1_nodes!B:B,comparaciones!A5)</f>
        <v>10</v>
      </c>
      <c r="C5" s="3">
        <f>AVERAGEIF(Table2[n_nodes],Table1[[#This Row],[Nodos]],Table2[optimal_iqcp])</f>
        <v>46.4</v>
      </c>
      <c r="D5" s="3">
        <f>AVERAGEIF(Table2[n_nodes],Table1[[#This Row],[Nodos]],Table2[optimal_rollout k=1])</f>
        <v>46.1</v>
      </c>
      <c r="E5" s="3">
        <f>AVERAGEIF(Table2[n_nodes],Table1[[#This Row],[Nodos]],Table2[optimal_rollout k=2])</f>
        <v>46.3</v>
      </c>
      <c r="F5" s="3">
        <f>AVERAGEIF(Table2[n_nodes],Table1[[#This Row],[Nodos]],Table2[optimal_rollout k=3])</f>
        <v>46.4</v>
      </c>
      <c r="G5" s="3">
        <f>((Table1[[#This Row],[Prom. Nodos salvados óptimo IQCP]]-Table1[[#This Row],[Prom. Nodos salvados Rollout k=1]])/Table1[[#This Row],[Prom. Nodos salvados óptimo IQCP]])*100</f>
        <v>0.64655172413792494</v>
      </c>
      <c r="H5" s="3">
        <f>((Table1[[#This Row],[Prom. Nodos salvados óptimo IQCP]]-Table1[[#This Row],[Prom. Nodos salvados Rollout k=2]])/Table1[[#This Row],[Prom. Nodos salvados óptimo IQCP]])*100</f>
        <v>0.21551724137931341</v>
      </c>
      <c r="I5" s="3">
        <f>((Table1[[#This Row],[Prom. Nodos salvados óptimo IQCP]]-Table1[[#This Row],[Prom. Nodos salvados Rollout k=3]])/Table1[[#This Row],[Prom. Nodos salvados óptimo IQCP]])*100</f>
        <v>0</v>
      </c>
      <c r="J5" s="3">
        <f>AVERAGEIF(Table2[n_nodes],Table1[[#This Row],[Nodos]],Table2[optimal_greedy])</f>
        <v>45.6</v>
      </c>
    </row>
    <row r="6" spans="1:10" x14ac:dyDescent="0.25">
      <c r="A6">
        <v>75</v>
      </c>
      <c r="B6">
        <f>COUNTIF(compare_results_1_nodes!B:B,comparaciones!A6)</f>
        <v>10</v>
      </c>
      <c r="C6" s="3">
        <f>AVERAGEIF(Table2[n_nodes],Table1[[#This Row],[Nodos]],Table2[optimal_iqcp])</f>
        <v>70.400000000000006</v>
      </c>
      <c r="D6" s="3">
        <f>AVERAGEIF(Table2[n_nodes],Table1[[#This Row],[Nodos]],Table2[optimal_rollout k=1])</f>
        <v>67.900000000000006</v>
      </c>
      <c r="E6" s="3">
        <f>AVERAGEIF(Table2[n_nodes],Table1[[#This Row],[Nodos]],Table2[optimal_rollout k=2])</f>
        <v>70.2</v>
      </c>
      <c r="F6" s="3">
        <f>AVERAGEIF(Table2[n_nodes],Table1[[#This Row],[Nodos]],Table2[optimal_rollout k=3])</f>
        <v>70.3</v>
      </c>
      <c r="G6" s="3">
        <f>((Table1[[#This Row],[Prom. Nodos salvados óptimo IQCP]]-Table1[[#This Row],[Prom. Nodos salvados Rollout k=1]])/Table1[[#This Row],[Prom. Nodos salvados óptimo IQCP]])*100</f>
        <v>3.5511363636363633</v>
      </c>
      <c r="H6" s="3">
        <f>((Table1[[#This Row],[Prom. Nodos salvados óptimo IQCP]]-Table1[[#This Row],[Prom. Nodos salvados Rollout k=2]])/Table1[[#This Row],[Prom. Nodos salvados óptimo IQCP]])*100</f>
        <v>0.28409090909091311</v>
      </c>
      <c r="I6" s="3">
        <f>((Table1[[#This Row],[Prom. Nodos salvados óptimo IQCP]]-Table1[[#This Row],[Prom. Nodos salvados Rollout k=3]])/Table1[[#This Row],[Prom. Nodos salvados óptimo IQCP]])*100</f>
        <v>0.14204545454546666</v>
      </c>
      <c r="J6" s="3">
        <f>AVERAGEIF(Table2[n_nodes],Table1[[#This Row],[Nodos]],Table2[optimal_greedy])</f>
        <v>68.400000000000006</v>
      </c>
    </row>
    <row r="7" spans="1:10" x14ac:dyDescent="0.25">
      <c r="A7">
        <v>100</v>
      </c>
      <c r="B7">
        <f>COUNTIF(compare_results_1_nodes!B:B,comparaciones!A7)</f>
        <v>10</v>
      </c>
      <c r="C7" s="3">
        <f>AVERAGEIF(Table2[n_nodes],Table1[[#This Row],[Nodos]],Table2[optimal_iqcp])</f>
        <v>95.9</v>
      </c>
      <c r="D7" s="3">
        <f>AVERAGEIF(Table2[n_nodes],Table1[[#This Row],[Nodos]],Table2[optimal_rollout k=1])</f>
        <v>95.8</v>
      </c>
      <c r="E7" s="3">
        <f>AVERAGEIF(Table2[n_nodes],Table1[[#This Row],[Nodos]],Table2[optimal_rollout k=2])</f>
        <v>95.8</v>
      </c>
      <c r="F7" s="3">
        <f>AVERAGEIF(Table2[n_nodes],Table1[[#This Row],[Nodos]],Table2[optimal_rollout k=3])</f>
        <v>95.9</v>
      </c>
      <c r="G7" s="3">
        <f>((Table1[[#This Row],[Prom. Nodos salvados óptimo IQCP]]-Table1[[#This Row],[Prom. Nodos salvados Rollout k=1]])/Table1[[#This Row],[Prom. Nodos salvados óptimo IQCP]])*100</f>
        <v>0.10427528675704748</v>
      </c>
      <c r="H7" s="3">
        <f>((Table1[[#This Row],[Prom. Nodos salvados óptimo IQCP]]-Table1[[#This Row],[Prom. Nodos salvados Rollout k=2]])/Table1[[#This Row],[Prom. Nodos salvados óptimo IQCP]])*100</f>
        <v>0.10427528675704748</v>
      </c>
      <c r="I7" s="3">
        <f>((Table1[[#This Row],[Prom. Nodos salvados óptimo IQCP]]-Table1[[#This Row],[Prom. Nodos salvados Rollout k=3]])/Table1[[#This Row],[Prom. Nodos salvados óptimo IQCP]])*100</f>
        <v>0</v>
      </c>
      <c r="J7" s="3">
        <f>AVERAGEIF(Table2[n_nodes],Table1[[#This Row],[Nodos]],Table2[optimal_greedy])</f>
        <v>94.6</v>
      </c>
    </row>
    <row r="12" spans="1:10" x14ac:dyDescent="0.25">
      <c r="A12" t="s">
        <v>241</v>
      </c>
      <c r="B12" t="s">
        <v>242</v>
      </c>
      <c r="C12" t="s">
        <v>244</v>
      </c>
      <c r="D12" t="s">
        <v>245</v>
      </c>
      <c r="E12" t="s">
        <v>246</v>
      </c>
      <c r="F12" t="s">
        <v>247</v>
      </c>
      <c r="G12" t="s">
        <v>248</v>
      </c>
      <c r="H12" t="s">
        <v>249</v>
      </c>
      <c r="I12" t="s">
        <v>269</v>
      </c>
    </row>
    <row r="13" spans="1:10" x14ac:dyDescent="0.25">
      <c r="A13">
        <v>20</v>
      </c>
      <c r="B13">
        <f>COUNTIF(Table2[n_nodes],Table3[[#This Row],[Nodos]])</f>
        <v>10</v>
      </c>
      <c r="C13">
        <f>AVERAGEIF(Table2[n_nodes],Table3[[#This Row],[Nodos]],Table2[duration_miqcp])</f>
        <v>37825.711648774137</v>
      </c>
      <c r="D13">
        <f>AVERAGEIF(Table2[n_nodes],Table3[[#This Row],[Nodos]],Table2[duration_iqcp])</f>
        <v>4.7960814476013125</v>
      </c>
      <c r="E13">
        <f>AVERAGEIF(Table2[n_nodes],Table3[[#This Row],[Nodos]],Table2[duration_ilp])</f>
        <v>11.439051318168614</v>
      </c>
      <c r="F13" s="6">
        <f>AVERAGEIF(Table2[n_nodes],Table3[[#This Row],[Nodos]],Table2[time_taken k=1])</f>
        <v>4.2798654199987102E-2</v>
      </c>
      <c r="G13" s="6">
        <f>AVERAGEIF(Table2[n_nodes],Table3[[#This Row],[Nodos]],Table2[time_taken k=2])</f>
        <v>6.4155937600025886E-2</v>
      </c>
      <c r="H13" s="6">
        <f>AVERAGEIF(Table2[n_nodes],Table3[[#This Row],[Nodos]],Table2[time_taken k=3])</f>
        <v>0.13367108779984832</v>
      </c>
      <c r="I13" s="6">
        <f>AVERAGEIF(Table2[n_nodes],Table3[[#This Row],[Nodos]],Table2[duration_greedy])</f>
        <v>3.6665439605712844E-3</v>
      </c>
    </row>
    <row r="14" spans="1:10" x14ac:dyDescent="0.25">
      <c r="A14">
        <v>25</v>
      </c>
      <c r="B14">
        <f>COUNTIF(Table2[n_nodes],Table3[[#This Row],[Nodos]])</f>
        <v>10</v>
      </c>
      <c r="C14">
        <f>AVERAGEIF(Table2[n_nodes],Table3[[#This Row],[Nodos]],Table2[duration_miqcp])</f>
        <v>66611.988037872274</v>
      </c>
      <c r="D14">
        <f>AVERAGEIF(Table2[n_nodes],Table3[[#This Row],[Nodos]],Table2[duration_iqcp])</f>
        <v>12.175678658485396</v>
      </c>
      <c r="E14">
        <f>AVERAGEIF(Table2[n_nodes],Table3[[#This Row],[Nodos]],Table2[duration_ilp])</f>
        <v>32.275744056701612</v>
      </c>
      <c r="F14" s="6">
        <f>AVERAGEIF(Table2[n_nodes],Table3[[#This Row],[Nodos]],Table2[time_taken k=1])</f>
        <v>4.9438999899939481E-2</v>
      </c>
      <c r="G14" s="6">
        <f>AVERAGEIF(Table2[n_nodes],Table3[[#This Row],[Nodos]],Table2[time_taken k=2])</f>
        <v>0.11470057500009675</v>
      </c>
      <c r="H14" s="6">
        <f>AVERAGEIF(Table2[n_nodes],Table3[[#This Row],[Nodos]],Table2[time_taken k=3])</f>
        <v>0.2295665416999321</v>
      </c>
      <c r="I14" s="6">
        <f>AVERAGEIF(Table2[n_nodes],Table3[[#This Row],[Nodos]],Table2[duration_greedy])</f>
        <v>5.3447961807250831E-3</v>
      </c>
    </row>
    <row r="15" spans="1:10" x14ac:dyDescent="0.25">
      <c r="A15">
        <v>40</v>
      </c>
      <c r="B15">
        <f>COUNTIF(Table2[n_nodes],Table3[[#This Row],[Nodos]])</f>
        <v>10</v>
      </c>
      <c r="C15" t="e">
        <f>AVERAGEIF(Table2[n_nodes],Table3[[#This Row],[Nodos]],Table2[duration_miqcp])</f>
        <v>#DIV/0!</v>
      </c>
      <c r="D15">
        <f>AVERAGEIF(Table2[n_nodes],Table3[[#This Row],[Nodos]],Table2[duration_iqcp])</f>
        <v>64.14205644130702</v>
      </c>
      <c r="E15">
        <f>AVERAGEIF(Table2[n_nodes],Table3[[#This Row],[Nodos]],Table2[duration_ilp])</f>
        <v>210.23919503688757</v>
      </c>
      <c r="F15" s="6">
        <f>AVERAGEIF(Table2[n_nodes],Table3[[#This Row],[Nodos]],Table2[time_taken k=1])</f>
        <v>0.13105901660005617</v>
      </c>
      <c r="G15" s="6">
        <f>AVERAGEIF(Table2[n_nodes],Table3[[#This Row],[Nodos]],Table2[time_taken k=2])</f>
        <v>1.0564760130998336</v>
      </c>
      <c r="H15" s="6">
        <f>AVERAGEIF(Table2[n_nodes],Table3[[#This Row],[Nodos]],Table2[time_taken k=3])</f>
        <v>4.2931186351998765</v>
      </c>
      <c r="I15" s="6">
        <f>AVERAGEIF(Table2[n_nodes],Table3[[#This Row],[Nodos]],Table2[duration_greedy])</f>
        <v>4.9083471298217735E-3</v>
      </c>
    </row>
    <row r="16" spans="1:10" x14ac:dyDescent="0.25">
      <c r="A16">
        <v>50</v>
      </c>
      <c r="B16">
        <f>COUNTIF(Table2[n_nodes],Table3[[#This Row],[Nodos]])</f>
        <v>10</v>
      </c>
      <c r="C16" t="e">
        <f>AVERAGEIF(Table2[n_nodes],Table3[[#This Row],[Nodos]],Table2[duration_miqcp])</f>
        <v>#DIV/0!</v>
      </c>
      <c r="D16">
        <f>AVERAGEIF(Table2[n_nodes],Table3[[#This Row],[Nodos]],Table2[duration_iqcp])</f>
        <v>188.42847027778583</v>
      </c>
      <c r="E16">
        <f>AVERAGEIF(Table2[n_nodes],Table3[[#This Row],[Nodos]],Table2[duration_ilp])</f>
        <v>752.25583248138321</v>
      </c>
      <c r="F16" s="6">
        <f>AVERAGEIF(Table2[n_nodes],Table3[[#This Row],[Nodos]],Table2[time_taken k=1])</f>
        <v>0.26793605439997881</v>
      </c>
      <c r="G16" s="6">
        <f>AVERAGEIF(Table2[n_nodes],Table3[[#This Row],[Nodos]],Table2[time_taken k=2])</f>
        <v>3.089357088800166</v>
      </c>
      <c r="H16" s="6">
        <f>AVERAGEIF(Table2[n_nodes],Table3[[#This Row],[Nodos]],Table2[time_taken k=3])</f>
        <v>13.21353812690009</v>
      </c>
      <c r="I16" s="6">
        <f>AVERAGEIF(Table2[n_nodes],Table3[[#This Row],[Nodos]],Table2[duration_greedy])</f>
        <v>5.71496486663818E-3</v>
      </c>
    </row>
    <row r="17" spans="1:9" x14ac:dyDescent="0.25">
      <c r="A17">
        <v>75</v>
      </c>
      <c r="B17">
        <f>COUNTIF(Table2[n_nodes],Table3[[#This Row],[Nodos]])</f>
        <v>10</v>
      </c>
      <c r="C17" t="e">
        <f>AVERAGEIF(Table2[n_nodes],Table3[[#This Row],[Nodos]],Table2[duration_miqcp])</f>
        <v>#DIV/0!</v>
      </c>
      <c r="D17">
        <f>AVERAGEIF(Table2[n_nodes],Table3[[#This Row],[Nodos]],Table2[duration_iqcp])</f>
        <v>2021.6528975486665</v>
      </c>
      <c r="E17">
        <f>AVERAGEIF(Table2[n_nodes],Table3[[#This Row],[Nodos]],Table2[duration_ilp])</f>
        <v>963.23043951987961</v>
      </c>
      <c r="F17" s="6">
        <f>AVERAGEIF(Table2[n_nodes],Table3[[#This Row],[Nodos]],Table2[time_taken k=1])</f>
        <v>1.4840239838999865</v>
      </c>
      <c r="G17" s="6">
        <f>AVERAGEIF(Table2[n_nodes],Table3[[#This Row],[Nodos]],Table2[time_taken k=2])</f>
        <v>16.214109840599829</v>
      </c>
      <c r="H17" s="6">
        <f>AVERAGEIF(Table2[n_nodes],Table3[[#This Row],[Nodos]],Table2[time_taken k=3])</f>
        <v>98.137982319399768</v>
      </c>
      <c r="I17" s="6">
        <f>AVERAGEIF(Table2[n_nodes],Table3[[#This Row],[Nodos]],Table2[duration_greedy])</f>
        <v>7.2853565216064401E-3</v>
      </c>
    </row>
    <row r="18" spans="1:9" x14ac:dyDescent="0.25">
      <c r="A18">
        <v>100</v>
      </c>
      <c r="B18">
        <f>COUNTIF(Table2[n_nodes],Table3[[#This Row],[Nodos]])</f>
        <v>10</v>
      </c>
      <c r="C18" t="e">
        <f>AVERAGEIF(Table2[n_nodes],Table3[[#This Row],[Nodos]],Table2[duration_miqcp])</f>
        <v>#DIV/0!</v>
      </c>
      <c r="D18">
        <f>AVERAGEIF(Table2[n_nodes],Table3[[#This Row],[Nodos]],Table2[duration_iqcp])</f>
        <v>3171.413163208957</v>
      </c>
      <c r="E18">
        <f>AVERAGEIF(Table2[n_nodes],Table3[[#This Row],[Nodos]],Table2[duration_ilp])</f>
        <v>3318.0466889619797</v>
      </c>
      <c r="F18" s="6">
        <f>AVERAGEIF(Table2[n_nodes],Table3[[#This Row],[Nodos]],Table2[time_taken k=1])</f>
        <v>2.1543052138000292</v>
      </c>
      <c r="G18" s="6">
        <f>AVERAGEIF(Table2[n_nodes],Table3[[#This Row],[Nodos]],Table2[time_taken k=2])</f>
        <v>55.666940646099803</v>
      </c>
      <c r="H18" s="6">
        <f>AVERAGEIF(Table2[n_nodes],Table3[[#This Row],[Nodos]],Table2[time_taken k=3])</f>
        <v>384.89191494139982</v>
      </c>
      <c r="I18" s="6">
        <f>AVERAGEIF(Table2[n_nodes],Table3[[#This Row],[Nodos]],Table2[duration_greedy])</f>
        <v>8.9655399322509759E-3</v>
      </c>
    </row>
  </sheetData>
  <phoneticPr fontId="18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4A6BC-62F5-4DBB-8F21-51828F0FF9CB}">
  <dimension ref="A1:J61"/>
  <sheetViews>
    <sheetView workbookViewId="0">
      <selection sqref="A1:J61"/>
    </sheetView>
  </sheetViews>
  <sheetFormatPr defaultRowHeight="15" x14ac:dyDescent="0.25"/>
  <cols>
    <col min="1" max="1" width="5" bestFit="1" customWidth="1"/>
    <col min="2" max="2" width="10.7109375" customWidth="1"/>
    <col min="3" max="3" width="13.140625" customWidth="1"/>
    <col min="4" max="4" width="14.7109375" customWidth="1"/>
    <col min="5" max="5" width="13.28515625" bestFit="1" customWidth="1"/>
    <col min="6" max="6" width="16.42578125" customWidth="1"/>
    <col min="7" max="7" width="17" customWidth="1"/>
    <col min="8" max="10" width="20.28515625" customWidth="1"/>
  </cols>
  <sheetData>
    <row r="1" spans="1:10" x14ac:dyDescent="0.25">
      <c r="A1" t="s">
        <v>253</v>
      </c>
      <c r="B1" t="s">
        <v>13</v>
      </c>
      <c r="C1" t="s">
        <v>257</v>
      </c>
      <c r="D1" t="s">
        <v>258</v>
      </c>
      <c r="E1" t="s">
        <v>259</v>
      </c>
      <c r="F1" t="s">
        <v>260</v>
      </c>
      <c r="G1" t="s">
        <v>261</v>
      </c>
      <c r="H1" t="s">
        <v>262</v>
      </c>
      <c r="I1" t="s">
        <v>263</v>
      </c>
      <c r="J1" t="s">
        <v>264</v>
      </c>
    </row>
    <row r="2" spans="1:10" x14ac:dyDescent="0.25">
      <c r="A2">
        <v>1</v>
      </c>
      <c r="B2">
        <v>25</v>
      </c>
      <c r="C2">
        <v>16</v>
      </c>
      <c r="D2">
        <v>16</v>
      </c>
      <c r="E2">
        <v>16</v>
      </c>
      <c r="F2">
        <v>16</v>
      </c>
      <c r="G2">
        <v>16</v>
      </c>
      <c r="H2">
        <v>16</v>
      </c>
      <c r="I2">
        <v>16</v>
      </c>
      <c r="J2">
        <v>16</v>
      </c>
    </row>
    <row r="3" spans="1:10" x14ac:dyDescent="0.25">
      <c r="A3">
        <v>2</v>
      </c>
      <c r="B3">
        <v>25</v>
      </c>
      <c r="C3">
        <v>20</v>
      </c>
      <c r="D3">
        <v>20</v>
      </c>
      <c r="E3">
        <v>20</v>
      </c>
      <c r="G3">
        <v>19</v>
      </c>
      <c r="H3">
        <v>20</v>
      </c>
      <c r="I3">
        <v>20</v>
      </c>
      <c r="J3">
        <v>20</v>
      </c>
    </row>
    <row r="4" spans="1:10" x14ac:dyDescent="0.25">
      <c r="A4">
        <v>3</v>
      </c>
      <c r="B4">
        <v>25</v>
      </c>
      <c r="C4">
        <v>21</v>
      </c>
      <c r="D4">
        <v>21</v>
      </c>
      <c r="E4">
        <v>21</v>
      </c>
      <c r="F4">
        <v>21</v>
      </c>
      <c r="G4">
        <v>21</v>
      </c>
      <c r="H4">
        <v>21</v>
      </c>
      <c r="I4">
        <v>21</v>
      </c>
      <c r="J4">
        <v>21</v>
      </c>
    </row>
    <row r="5" spans="1:10" x14ac:dyDescent="0.25">
      <c r="A5">
        <v>4</v>
      </c>
      <c r="B5">
        <v>25</v>
      </c>
      <c r="C5">
        <v>18</v>
      </c>
      <c r="D5">
        <v>18</v>
      </c>
      <c r="E5">
        <v>18</v>
      </c>
      <c r="F5">
        <v>18</v>
      </c>
      <c r="G5">
        <v>17</v>
      </c>
      <c r="H5">
        <v>17</v>
      </c>
      <c r="I5">
        <v>17</v>
      </c>
      <c r="J5">
        <v>17</v>
      </c>
    </row>
    <row r="6" spans="1:10" x14ac:dyDescent="0.25">
      <c r="A6">
        <v>5</v>
      </c>
      <c r="B6">
        <v>25</v>
      </c>
      <c r="C6">
        <v>22</v>
      </c>
      <c r="D6">
        <v>22</v>
      </c>
      <c r="E6">
        <v>22</v>
      </c>
      <c r="F6">
        <v>22</v>
      </c>
      <c r="G6">
        <v>22</v>
      </c>
      <c r="H6">
        <v>22</v>
      </c>
      <c r="I6">
        <v>22</v>
      </c>
      <c r="J6">
        <v>22</v>
      </c>
    </row>
    <row r="7" spans="1:10" x14ac:dyDescent="0.25">
      <c r="A7">
        <v>6</v>
      </c>
      <c r="B7">
        <v>25</v>
      </c>
      <c r="C7">
        <v>19</v>
      </c>
      <c r="D7">
        <v>19</v>
      </c>
      <c r="E7">
        <v>19</v>
      </c>
      <c r="G7">
        <v>19</v>
      </c>
      <c r="H7">
        <v>19</v>
      </c>
      <c r="I7">
        <v>19</v>
      </c>
      <c r="J7">
        <v>19</v>
      </c>
    </row>
    <row r="8" spans="1:10" x14ac:dyDescent="0.25">
      <c r="A8">
        <v>7</v>
      </c>
      <c r="B8">
        <v>25</v>
      </c>
      <c r="C8">
        <v>18</v>
      </c>
      <c r="D8">
        <v>18</v>
      </c>
      <c r="E8">
        <v>18</v>
      </c>
      <c r="G8">
        <v>18</v>
      </c>
      <c r="H8">
        <v>18</v>
      </c>
      <c r="I8">
        <v>18</v>
      </c>
      <c r="J8">
        <v>18</v>
      </c>
    </row>
    <row r="9" spans="1:10" x14ac:dyDescent="0.25">
      <c r="A9">
        <v>8</v>
      </c>
      <c r="B9">
        <v>25</v>
      </c>
      <c r="C9">
        <v>19</v>
      </c>
      <c r="D9">
        <v>19</v>
      </c>
      <c r="E9">
        <v>19</v>
      </c>
      <c r="G9">
        <v>19</v>
      </c>
      <c r="H9">
        <v>19</v>
      </c>
      <c r="I9">
        <v>19</v>
      </c>
      <c r="J9">
        <v>19</v>
      </c>
    </row>
    <row r="10" spans="1:10" x14ac:dyDescent="0.25">
      <c r="A10">
        <v>9</v>
      </c>
      <c r="B10">
        <v>25</v>
      </c>
      <c r="C10">
        <v>18</v>
      </c>
      <c r="D10">
        <v>18</v>
      </c>
      <c r="E10">
        <v>18</v>
      </c>
      <c r="G10">
        <v>18</v>
      </c>
      <c r="H10">
        <v>18</v>
      </c>
      <c r="I10">
        <v>18</v>
      </c>
      <c r="J10">
        <v>18</v>
      </c>
    </row>
    <row r="11" spans="1:10" x14ac:dyDescent="0.25">
      <c r="A11">
        <v>10</v>
      </c>
      <c r="B11">
        <v>25</v>
      </c>
      <c r="C11">
        <v>20</v>
      </c>
      <c r="D11">
        <v>20</v>
      </c>
      <c r="E11">
        <v>20</v>
      </c>
      <c r="G11">
        <v>12</v>
      </c>
      <c r="H11">
        <v>20</v>
      </c>
      <c r="I11">
        <v>20</v>
      </c>
      <c r="J11">
        <v>20</v>
      </c>
    </row>
    <row r="12" spans="1:10" x14ac:dyDescent="0.25">
      <c r="A12">
        <v>11</v>
      </c>
      <c r="B12">
        <v>40</v>
      </c>
      <c r="C12">
        <v>36</v>
      </c>
      <c r="D12">
        <v>36</v>
      </c>
      <c r="E12">
        <v>36</v>
      </c>
      <c r="G12">
        <v>31</v>
      </c>
      <c r="H12">
        <v>36</v>
      </c>
      <c r="I12">
        <v>36</v>
      </c>
      <c r="J12">
        <v>36</v>
      </c>
    </row>
    <row r="13" spans="1:10" x14ac:dyDescent="0.25">
      <c r="A13">
        <v>12</v>
      </c>
      <c r="B13">
        <v>40</v>
      </c>
      <c r="C13">
        <v>36</v>
      </c>
      <c r="D13">
        <v>36</v>
      </c>
      <c r="E13">
        <v>36</v>
      </c>
      <c r="G13">
        <v>36</v>
      </c>
      <c r="H13">
        <v>36</v>
      </c>
      <c r="I13">
        <v>36</v>
      </c>
      <c r="J13">
        <v>36</v>
      </c>
    </row>
    <row r="14" spans="1:10" x14ac:dyDescent="0.25">
      <c r="A14">
        <v>13</v>
      </c>
      <c r="B14">
        <v>40</v>
      </c>
      <c r="D14">
        <v>38</v>
      </c>
      <c r="E14">
        <v>38</v>
      </c>
      <c r="G14">
        <v>38</v>
      </c>
      <c r="H14">
        <v>38</v>
      </c>
      <c r="I14">
        <v>38</v>
      </c>
      <c r="J14">
        <v>38</v>
      </c>
    </row>
    <row r="15" spans="1:10" x14ac:dyDescent="0.25">
      <c r="A15">
        <v>14</v>
      </c>
      <c r="B15">
        <v>40</v>
      </c>
      <c r="C15">
        <v>39</v>
      </c>
      <c r="D15">
        <v>39</v>
      </c>
      <c r="E15">
        <v>39</v>
      </c>
      <c r="G15">
        <v>39</v>
      </c>
      <c r="H15">
        <v>39</v>
      </c>
      <c r="I15">
        <v>39</v>
      </c>
      <c r="J15">
        <v>39</v>
      </c>
    </row>
    <row r="16" spans="1:10" x14ac:dyDescent="0.25">
      <c r="A16">
        <v>15</v>
      </c>
      <c r="B16">
        <v>40</v>
      </c>
      <c r="C16">
        <v>36</v>
      </c>
      <c r="D16">
        <v>36</v>
      </c>
      <c r="E16">
        <v>36</v>
      </c>
      <c r="G16">
        <v>36</v>
      </c>
      <c r="H16">
        <v>36</v>
      </c>
      <c r="I16">
        <v>36</v>
      </c>
      <c r="J16">
        <v>36</v>
      </c>
    </row>
    <row r="17" spans="1:10" x14ac:dyDescent="0.25">
      <c r="A17">
        <v>16</v>
      </c>
      <c r="B17">
        <v>40</v>
      </c>
      <c r="C17">
        <v>34</v>
      </c>
      <c r="D17">
        <v>34</v>
      </c>
      <c r="E17">
        <v>34</v>
      </c>
      <c r="G17">
        <v>33</v>
      </c>
      <c r="H17">
        <v>26</v>
      </c>
      <c r="I17">
        <v>34</v>
      </c>
      <c r="J17">
        <v>34</v>
      </c>
    </row>
    <row r="18" spans="1:10" x14ac:dyDescent="0.25">
      <c r="A18">
        <v>17</v>
      </c>
      <c r="B18">
        <v>40</v>
      </c>
      <c r="C18">
        <v>36</v>
      </c>
      <c r="D18">
        <v>36</v>
      </c>
      <c r="E18">
        <v>36</v>
      </c>
      <c r="G18">
        <v>35</v>
      </c>
      <c r="H18">
        <v>35</v>
      </c>
      <c r="I18">
        <v>36</v>
      </c>
      <c r="J18">
        <v>36</v>
      </c>
    </row>
    <row r="19" spans="1:10" x14ac:dyDescent="0.25">
      <c r="A19">
        <v>18</v>
      </c>
      <c r="B19">
        <v>40</v>
      </c>
      <c r="C19">
        <v>38</v>
      </c>
      <c r="D19">
        <v>38</v>
      </c>
      <c r="E19">
        <v>38</v>
      </c>
      <c r="G19">
        <v>38</v>
      </c>
      <c r="H19">
        <v>38</v>
      </c>
      <c r="I19">
        <v>38</v>
      </c>
      <c r="J19">
        <v>38</v>
      </c>
    </row>
    <row r="20" spans="1:10" x14ac:dyDescent="0.25">
      <c r="A20">
        <v>19</v>
      </c>
      <c r="B20">
        <v>40</v>
      </c>
      <c r="C20">
        <v>34</v>
      </c>
      <c r="D20">
        <v>34</v>
      </c>
      <c r="E20">
        <v>34</v>
      </c>
      <c r="G20">
        <v>34</v>
      </c>
      <c r="H20">
        <v>34</v>
      </c>
      <c r="I20">
        <v>34</v>
      </c>
      <c r="J20">
        <v>34</v>
      </c>
    </row>
    <row r="21" spans="1:10" x14ac:dyDescent="0.25">
      <c r="A21">
        <v>20</v>
      </c>
      <c r="B21">
        <v>40</v>
      </c>
      <c r="D21">
        <v>36</v>
      </c>
      <c r="E21">
        <v>36</v>
      </c>
      <c r="G21">
        <v>36</v>
      </c>
      <c r="H21">
        <v>36</v>
      </c>
      <c r="I21">
        <v>36</v>
      </c>
      <c r="J21">
        <v>36</v>
      </c>
    </row>
    <row r="22" spans="1:10" x14ac:dyDescent="0.25">
      <c r="A22">
        <v>21</v>
      </c>
      <c r="B22">
        <v>50</v>
      </c>
      <c r="D22">
        <v>46</v>
      </c>
      <c r="E22">
        <v>46</v>
      </c>
      <c r="G22">
        <v>46</v>
      </c>
      <c r="H22">
        <v>46</v>
      </c>
      <c r="I22">
        <v>46</v>
      </c>
      <c r="J22">
        <v>46</v>
      </c>
    </row>
    <row r="23" spans="1:10" x14ac:dyDescent="0.25">
      <c r="A23">
        <v>22</v>
      </c>
      <c r="B23">
        <v>50</v>
      </c>
      <c r="D23">
        <v>49</v>
      </c>
      <c r="E23">
        <v>49</v>
      </c>
      <c r="G23">
        <v>48</v>
      </c>
      <c r="H23">
        <v>49</v>
      </c>
      <c r="I23">
        <v>49</v>
      </c>
      <c r="J23">
        <v>49</v>
      </c>
    </row>
    <row r="24" spans="1:10" x14ac:dyDescent="0.25">
      <c r="A24">
        <v>23</v>
      </c>
      <c r="B24">
        <v>50</v>
      </c>
      <c r="D24">
        <v>48</v>
      </c>
      <c r="E24">
        <v>48</v>
      </c>
      <c r="G24">
        <v>47</v>
      </c>
      <c r="H24">
        <v>47</v>
      </c>
      <c r="I24">
        <v>48</v>
      </c>
      <c r="J24">
        <v>48</v>
      </c>
    </row>
    <row r="25" spans="1:10" x14ac:dyDescent="0.25">
      <c r="A25">
        <v>24</v>
      </c>
      <c r="B25">
        <v>50</v>
      </c>
      <c r="D25">
        <v>48</v>
      </c>
      <c r="E25">
        <v>48</v>
      </c>
      <c r="G25">
        <v>46</v>
      </c>
      <c r="H25">
        <v>48</v>
      </c>
      <c r="I25">
        <v>48</v>
      </c>
      <c r="J25">
        <v>48</v>
      </c>
    </row>
    <row r="26" spans="1:10" x14ac:dyDescent="0.25">
      <c r="A26">
        <v>25</v>
      </c>
      <c r="B26">
        <v>50</v>
      </c>
      <c r="D26">
        <v>44</v>
      </c>
      <c r="E26">
        <v>44</v>
      </c>
      <c r="G26">
        <v>42</v>
      </c>
      <c r="H26">
        <v>43</v>
      </c>
      <c r="I26">
        <v>44</v>
      </c>
      <c r="J26">
        <v>44</v>
      </c>
    </row>
    <row r="27" spans="1:10" x14ac:dyDescent="0.25">
      <c r="A27">
        <v>26</v>
      </c>
      <c r="B27">
        <v>50</v>
      </c>
      <c r="D27">
        <v>45</v>
      </c>
      <c r="E27">
        <v>45</v>
      </c>
      <c r="G27">
        <v>44</v>
      </c>
      <c r="H27">
        <v>45</v>
      </c>
      <c r="I27">
        <v>45</v>
      </c>
      <c r="J27">
        <v>45</v>
      </c>
    </row>
    <row r="28" spans="1:10" x14ac:dyDescent="0.25">
      <c r="A28">
        <v>27</v>
      </c>
      <c r="B28">
        <v>50</v>
      </c>
      <c r="D28">
        <v>46</v>
      </c>
      <c r="E28">
        <v>46</v>
      </c>
      <c r="G28">
        <v>46</v>
      </c>
      <c r="H28">
        <v>46</v>
      </c>
      <c r="I28">
        <v>46</v>
      </c>
      <c r="J28">
        <v>46</v>
      </c>
    </row>
    <row r="29" spans="1:10" x14ac:dyDescent="0.25">
      <c r="A29">
        <v>28</v>
      </c>
      <c r="B29">
        <v>50</v>
      </c>
      <c r="D29">
        <v>47</v>
      </c>
      <c r="E29">
        <v>47</v>
      </c>
      <c r="G29">
        <v>46</v>
      </c>
      <c r="H29">
        <v>46</v>
      </c>
      <c r="I29">
        <v>46</v>
      </c>
      <c r="J29">
        <v>47</v>
      </c>
    </row>
    <row r="30" spans="1:10" x14ac:dyDescent="0.25">
      <c r="A30">
        <v>29</v>
      </c>
      <c r="B30">
        <v>50</v>
      </c>
      <c r="D30">
        <v>47</v>
      </c>
      <c r="E30">
        <v>47</v>
      </c>
      <c r="G30">
        <v>47</v>
      </c>
      <c r="H30">
        <v>47</v>
      </c>
      <c r="I30">
        <v>47</v>
      </c>
      <c r="J30">
        <v>47</v>
      </c>
    </row>
    <row r="31" spans="1:10" x14ac:dyDescent="0.25">
      <c r="A31">
        <v>30</v>
      </c>
      <c r="B31">
        <v>50</v>
      </c>
      <c r="D31">
        <v>44</v>
      </c>
      <c r="E31">
        <v>44</v>
      </c>
      <c r="G31">
        <v>44</v>
      </c>
      <c r="H31">
        <v>44</v>
      </c>
      <c r="I31">
        <v>44</v>
      </c>
      <c r="J31">
        <v>44</v>
      </c>
    </row>
    <row r="32" spans="1:10" x14ac:dyDescent="0.25">
      <c r="A32">
        <v>31</v>
      </c>
      <c r="B32">
        <v>75</v>
      </c>
      <c r="D32">
        <v>71</v>
      </c>
      <c r="G32">
        <v>71</v>
      </c>
      <c r="H32">
        <v>71</v>
      </c>
      <c r="I32">
        <v>71</v>
      </c>
      <c r="J32">
        <v>71</v>
      </c>
    </row>
    <row r="33" spans="1:10" x14ac:dyDescent="0.25">
      <c r="A33">
        <v>32</v>
      </c>
      <c r="B33">
        <v>75</v>
      </c>
      <c r="D33">
        <v>71</v>
      </c>
      <c r="G33">
        <v>71</v>
      </c>
      <c r="H33">
        <v>71</v>
      </c>
      <c r="I33">
        <v>71</v>
      </c>
      <c r="J33">
        <v>71</v>
      </c>
    </row>
    <row r="34" spans="1:10" x14ac:dyDescent="0.25">
      <c r="A34">
        <v>33</v>
      </c>
      <c r="B34">
        <v>75</v>
      </c>
      <c r="D34">
        <v>72</v>
      </c>
      <c r="G34">
        <v>71</v>
      </c>
      <c r="H34">
        <v>72</v>
      </c>
      <c r="I34">
        <v>72</v>
      </c>
      <c r="J34">
        <v>72</v>
      </c>
    </row>
    <row r="35" spans="1:10" x14ac:dyDescent="0.25">
      <c r="A35">
        <v>34</v>
      </c>
      <c r="B35">
        <v>75</v>
      </c>
      <c r="D35">
        <v>74</v>
      </c>
      <c r="G35">
        <v>74</v>
      </c>
      <c r="H35">
        <v>74</v>
      </c>
      <c r="I35">
        <v>74</v>
      </c>
      <c r="J35">
        <v>74</v>
      </c>
    </row>
    <row r="36" spans="1:10" x14ac:dyDescent="0.25">
      <c r="A36">
        <v>35</v>
      </c>
      <c r="B36">
        <v>75</v>
      </c>
      <c r="D36">
        <v>71</v>
      </c>
      <c r="G36">
        <v>71</v>
      </c>
      <c r="H36">
        <v>71</v>
      </c>
      <c r="I36">
        <v>71</v>
      </c>
      <c r="J36">
        <v>71</v>
      </c>
    </row>
    <row r="37" spans="1:10" x14ac:dyDescent="0.25">
      <c r="A37">
        <v>36</v>
      </c>
      <c r="B37">
        <v>75</v>
      </c>
      <c r="D37">
        <v>65</v>
      </c>
      <c r="G37">
        <v>59</v>
      </c>
      <c r="H37">
        <v>64</v>
      </c>
      <c r="I37">
        <v>64</v>
      </c>
      <c r="J37">
        <v>65</v>
      </c>
    </row>
    <row r="38" spans="1:10" x14ac:dyDescent="0.25">
      <c r="A38">
        <v>37</v>
      </c>
      <c r="B38">
        <v>75</v>
      </c>
      <c r="D38">
        <v>69</v>
      </c>
      <c r="G38">
        <v>65</v>
      </c>
      <c r="H38">
        <v>69</v>
      </c>
      <c r="I38">
        <v>69</v>
      </c>
      <c r="J38">
        <v>69</v>
      </c>
    </row>
    <row r="39" spans="1:10" x14ac:dyDescent="0.25">
      <c r="A39">
        <v>38</v>
      </c>
      <c r="B39">
        <v>75</v>
      </c>
      <c r="D39">
        <v>73</v>
      </c>
      <c r="G39">
        <v>72</v>
      </c>
      <c r="H39">
        <v>59</v>
      </c>
      <c r="I39">
        <v>73</v>
      </c>
      <c r="J39">
        <v>73</v>
      </c>
    </row>
    <row r="40" spans="1:10" x14ac:dyDescent="0.25">
      <c r="A40">
        <v>39</v>
      </c>
      <c r="B40">
        <v>75</v>
      </c>
      <c r="D40">
        <v>69</v>
      </c>
      <c r="G40">
        <v>68</v>
      </c>
      <c r="H40">
        <v>64</v>
      </c>
      <c r="I40">
        <v>69</v>
      </c>
      <c r="J40">
        <v>69</v>
      </c>
    </row>
    <row r="41" spans="1:10" x14ac:dyDescent="0.25">
      <c r="A41">
        <v>40</v>
      </c>
      <c r="B41">
        <v>75</v>
      </c>
      <c r="D41">
        <v>69</v>
      </c>
      <c r="G41">
        <v>62</v>
      </c>
      <c r="H41">
        <v>64</v>
      </c>
      <c r="I41">
        <v>68</v>
      </c>
      <c r="J41">
        <v>68</v>
      </c>
    </row>
    <row r="42" spans="1:10" x14ac:dyDescent="0.25">
      <c r="A42">
        <v>41</v>
      </c>
      <c r="B42">
        <v>100</v>
      </c>
      <c r="D42">
        <v>99</v>
      </c>
      <c r="G42">
        <v>97</v>
      </c>
      <c r="H42">
        <v>99</v>
      </c>
      <c r="I42">
        <v>99</v>
      </c>
      <c r="J42">
        <v>99</v>
      </c>
    </row>
    <row r="43" spans="1:10" x14ac:dyDescent="0.25">
      <c r="A43">
        <v>42</v>
      </c>
      <c r="B43">
        <v>100</v>
      </c>
      <c r="D43">
        <v>97</v>
      </c>
      <c r="G43">
        <v>97</v>
      </c>
      <c r="H43">
        <v>97</v>
      </c>
      <c r="I43">
        <v>97</v>
      </c>
      <c r="J43">
        <v>97</v>
      </c>
    </row>
    <row r="44" spans="1:10" x14ac:dyDescent="0.25">
      <c r="A44">
        <v>43</v>
      </c>
      <c r="B44">
        <v>100</v>
      </c>
      <c r="D44">
        <v>96</v>
      </c>
      <c r="G44">
        <v>95</v>
      </c>
      <c r="H44">
        <v>96</v>
      </c>
      <c r="I44">
        <v>96</v>
      </c>
      <c r="J44">
        <v>96</v>
      </c>
    </row>
    <row r="45" spans="1:10" x14ac:dyDescent="0.25">
      <c r="A45">
        <v>44</v>
      </c>
      <c r="B45">
        <v>100</v>
      </c>
      <c r="D45">
        <v>98</v>
      </c>
      <c r="G45">
        <v>97</v>
      </c>
      <c r="H45">
        <v>98</v>
      </c>
      <c r="I45">
        <v>98</v>
      </c>
      <c r="J45">
        <v>98</v>
      </c>
    </row>
    <row r="46" spans="1:10" x14ac:dyDescent="0.25">
      <c r="A46">
        <v>45</v>
      </c>
      <c r="B46">
        <v>100</v>
      </c>
      <c r="D46">
        <v>95</v>
      </c>
      <c r="G46">
        <v>94</v>
      </c>
      <c r="H46">
        <v>95</v>
      </c>
      <c r="I46">
        <v>95</v>
      </c>
      <c r="J46">
        <v>95</v>
      </c>
    </row>
    <row r="47" spans="1:10" x14ac:dyDescent="0.25">
      <c r="A47">
        <v>46</v>
      </c>
      <c r="B47">
        <v>100</v>
      </c>
      <c r="D47">
        <v>94</v>
      </c>
      <c r="G47">
        <v>92</v>
      </c>
      <c r="H47">
        <v>93</v>
      </c>
      <c r="I47">
        <v>93</v>
      </c>
      <c r="J47">
        <v>94</v>
      </c>
    </row>
    <row r="48" spans="1:10" x14ac:dyDescent="0.25">
      <c r="A48">
        <v>47</v>
      </c>
      <c r="B48">
        <v>100</v>
      </c>
      <c r="D48">
        <v>97</v>
      </c>
      <c r="G48">
        <v>95</v>
      </c>
      <c r="H48">
        <v>97</v>
      </c>
      <c r="I48">
        <v>97</v>
      </c>
      <c r="J48">
        <v>97</v>
      </c>
    </row>
    <row r="49" spans="1:10" x14ac:dyDescent="0.25">
      <c r="A49">
        <v>48</v>
      </c>
      <c r="B49">
        <v>100</v>
      </c>
      <c r="D49">
        <v>89</v>
      </c>
      <c r="G49">
        <v>86</v>
      </c>
      <c r="H49">
        <v>89</v>
      </c>
      <c r="I49">
        <v>89</v>
      </c>
      <c r="J49">
        <v>89</v>
      </c>
    </row>
    <row r="50" spans="1:10" x14ac:dyDescent="0.25">
      <c r="A50">
        <v>49</v>
      </c>
      <c r="B50">
        <v>100</v>
      </c>
      <c r="D50">
        <v>98</v>
      </c>
      <c r="G50">
        <v>97</v>
      </c>
      <c r="H50">
        <v>98</v>
      </c>
      <c r="I50">
        <v>98</v>
      </c>
      <c r="J50">
        <v>98</v>
      </c>
    </row>
    <row r="51" spans="1:10" x14ac:dyDescent="0.25">
      <c r="A51">
        <v>50</v>
      </c>
      <c r="B51">
        <v>100</v>
      </c>
      <c r="D51">
        <v>96</v>
      </c>
      <c r="G51">
        <v>96</v>
      </c>
      <c r="H51">
        <v>96</v>
      </c>
      <c r="I51">
        <v>96</v>
      </c>
      <c r="J51">
        <v>96</v>
      </c>
    </row>
    <row r="52" spans="1:10" x14ac:dyDescent="0.25">
      <c r="A52">
        <v>51</v>
      </c>
      <c r="B52">
        <v>20</v>
      </c>
      <c r="C52">
        <v>11</v>
      </c>
      <c r="D52">
        <v>11</v>
      </c>
      <c r="E52">
        <v>11</v>
      </c>
      <c r="F52">
        <v>11</v>
      </c>
      <c r="G52">
        <v>10</v>
      </c>
      <c r="H52">
        <v>9</v>
      </c>
      <c r="I52">
        <v>11</v>
      </c>
      <c r="J52">
        <v>11</v>
      </c>
    </row>
    <row r="53" spans="1:10" x14ac:dyDescent="0.25">
      <c r="A53">
        <v>52</v>
      </c>
      <c r="B53">
        <v>20</v>
      </c>
      <c r="C53">
        <v>15</v>
      </c>
      <c r="D53">
        <v>15</v>
      </c>
      <c r="E53">
        <v>15</v>
      </c>
      <c r="G53">
        <v>13</v>
      </c>
      <c r="H53">
        <v>15</v>
      </c>
      <c r="I53">
        <v>15</v>
      </c>
      <c r="J53">
        <v>15</v>
      </c>
    </row>
    <row r="54" spans="1:10" x14ac:dyDescent="0.25">
      <c r="A54">
        <v>53</v>
      </c>
      <c r="B54">
        <v>20</v>
      </c>
      <c r="C54">
        <v>15</v>
      </c>
      <c r="D54">
        <v>15</v>
      </c>
      <c r="E54">
        <v>15</v>
      </c>
      <c r="F54">
        <v>15</v>
      </c>
      <c r="G54">
        <v>14</v>
      </c>
      <c r="H54">
        <v>15</v>
      </c>
      <c r="I54">
        <v>15</v>
      </c>
      <c r="J54">
        <v>15</v>
      </c>
    </row>
    <row r="55" spans="1:10" x14ac:dyDescent="0.25">
      <c r="A55">
        <v>54</v>
      </c>
      <c r="B55">
        <v>20</v>
      </c>
      <c r="C55">
        <v>15</v>
      </c>
      <c r="D55">
        <v>15</v>
      </c>
      <c r="E55">
        <v>15</v>
      </c>
      <c r="F55">
        <v>15</v>
      </c>
      <c r="G55">
        <v>15</v>
      </c>
      <c r="H55">
        <v>15</v>
      </c>
      <c r="I55">
        <v>15</v>
      </c>
      <c r="J55">
        <v>15</v>
      </c>
    </row>
    <row r="56" spans="1:10" x14ac:dyDescent="0.25">
      <c r="A56">
        <v>55</v>
      </c>
      <c r="B56">
        <v>20</v>
      </c>
      <c r="C56">
        <v>15</v>
      </c>
      <c r="D56">
        <v>15</v>
      </c>
      <c r="E56">
        <v>15</v>
      </c>
      <c r="F56">
        <v>15</v>
      </c>
      <c r="G56">
        <v>15</v>
      </c>
      <c r="H56">
        <v>10</v>
      </c>
      <c r="I56">
        <v>15</v>
      </c>
      <c r="J56">
        <v>15</v>
      </c>
    </row>
    <row r="57" spans="1:10" x14ac:dyDescent="0.25">
      <c r="A57">
        <v>56</v>
      </c>
      <c r="B57">
        <v>20</v>
      </c>
      <c r="C57">
        <v>12</v>
      </c>
      <c r="D57">
        <v>12</v>
      </c>
      <c r="E57">
        <v>12</v>
      </c>
      <c r="F57">
        <v>12</v>
      </c>
      <c r="G57">
        <v>8</v>
      </c>
      <c r="H57">
        <v>11</v>
      </c>
      <c r="I57">
        <v>12</v>
      </c>
      <c r="J57">
        <v>12</v>
      </c>
    </row>
    <row r="58" spans="1:10" x14ac:dyDescent="0.25">
      <c r="A58">
        <v>57</v>
      </c>
      <c r="B58">
        <v>20</v>
      </c>
      <c r="C58">
        <v>16</v>
      </c>
      <c r="D58">
        <v>16</v>
      </c>
      <c r="E58">
        <v>16</v>
      </c>
      <c r="G58">
        <v>16</v>
      </c>
      <c r="H58">
        <v>16</v>
      </c>
      <c r="I58">
        <v>16</v>
      </c>
      <c r="J58">
        <v>16</v>
      </c>
    </row>
    <row r="59" spans="1:10" x14ac:dyDescent="0.25">
      <c r="A59">
        <v>58</v>
      </c>
      <c r="B59">
        <v>20</v>
      </c>
      <c r="C59">
        <v>14</v>
      </c>
      <c r="D59">
        <v>14</v>
      </c>
      <c r="E59">
        <v>14</v>
      </c>
      <c r="G59">
        <v>14</v>
      </c>
      <c r="H59">
        <v>14</v>
      </c>
      <c r="I59">
        <v>14</v>
      </c>
      <c r="J59">
        <v>14</v>
      </c>
    </row>
    <row r="60" spans="1:10" x14ac:dyDescent="0.25">
      <c r="A60">
        <v>59</v>
      </c>
      <c r="B60">
        <v>20</v>
      </c>
      <c r="C60">
        <v>18</v>
      </c>
      <c r="D60">
        <v>18</v>
      </c>
      <c r="E60">
        <v>18</v>
      </c>
      <c r="F60">
        <v>18</v>
      </c>
      <c r="G60">
        <v>17</v>
      </c>
      <c r="H60">
        <v>17</v>
      </c>
      <c r="I60">
        <v>17</v>
      </c>
      <c r="J60">
        <v>17</v>
      </c>
    </row>
    <row r="61" spans="1:10" x14ac:dyDescent="0.25">
      <c r="A61">
        <v>60</v>
      </c>
      <c r="B61">
        <v>20</v>
      </c>
      <c r="C61">
        <v>16</v>
      </c>
      <c r="D61">
        <v>16</v>
      </c>
      <c r="E61">
        <v>16</v>
      </c>
      <c r="G61">
        <v>16</v>
      </c>
      <c r="H61">
        <v>16</v>
      </c>
      <c r="I61">
        <v>16</v>
      </c>
      <c r="J61">
        <v>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B8C71-32A3-48D3-90B7-505DE6C90DC3}">
  <dimension ref="A1:O61"/>
  <sheetViews>
    <sheetView topLeftCell="A16" workbookViewId="0">
      <selection activeCell="P47" sqref="P47"/>
    </sheetView>
  </sheetViews>
  <sheetFormatPr defaultRowHeight="15" x14ac:dyDescent="0.25"/>
  <cols>
    <col min="1" max="1" width="5" bestFit="1" customWidth="1"/>
    <col min="2" max="2" width="10.7109375" customWidth="1"/>
    <col min="3" max="3" width="13.85546875" customWidth="1"/>
    <col min="4" max="4" width="15.42578125" customWidth="1"/>
    <col min="5" max="5" width="15.7109375" bestFit="1" customWidth="1"/>
    <col min="6" max="6" width="17.140625" customWidth="1"/>
    <col min="7" max="7" width="17.7109375" customWidth="1"/>
    <col min="8" max="10" width="21.5703125" bestFit="1" customWidth="1"/>
  </cols>
  <sheetData>
    <row r="1" spans="1:10" x14ac:dyDescent="0.25">
      <c r="A1" t="s">
        <v>253</v>
      </c>
      <c r="B1" t="s">
        <v>13</v>
      </c>
      <c r="C1" t="s">
        <v>1</v>
      </c>
      <c r="D1" t="s">
        <v>4</v>
      </c>
      <c r="E1" t="s">
        <v>250</v>
      </c>
      <c r="F1" t="s">
        <v>7</v>
      </c>
      <c r="G1" t="s">
        <v>10</v>
      </c>
      <c r="H1" t="s">
        <v>254</v>
      </c>
      <c r="I1" t="s">
        <v>255</v>
      </c>
      <c r="J1" t="s">
        <v>256</v>
      </c>
    </row>
    <row r="2" spans="1:10" x14ac:dyDescent="0.25">
      <c r="A2">
        <v>1</v>
      </c>
      <c r="B2">
        <v>25</v>
      </c>
      <c r="C2" s="4">
        <v>0.17613744735717701</v>
      </c>
      <c r="D2" s="4">
        <v>13.040886640548701</v>
      </c>
      <c r="E2" s="4">
        <v>47.8435056209564</v>
      </c>
      <c r="F2" s="4">
        <v>23232.2081673145</v>
      </c>
      <c r="G2" s="4">
        <v>1.48313045501708E-2</v>
      </c>
      <c r="H2" s="4">
        <v>6.3491874999726805E-2</v>
      </c>
      <c r="I2" s="4">
        <v>0.14683254099963899</v>
      </c>
      <c r="J2" s="4">
        <v>0.29684416700001698</v>
      </c>
    </row>
    <row r="3" spans="1:10" x14ac:dyDescent="0.25">
      <c r="A3">
        <v>2</v>
      </c>
      <c r="B3">
        <v>25</v>
      </c>
      <c r="C3" s="4">
        <v>0.155776977539062</v>
      </c>
      <c r="D3" s="4">
        <v>5.0183191299438397</v>
      </c>
      <c r="E3" s="4">
        <v>17.926093339920001</v>
      </c>
      <c r="F3" s="4">
        <v>86400.072399616198</v>
      </c>
      <c r="G3" s="4">
        <v>4.5094490051269497E-3</v>
      </c>
      <c r="H3" s="4">
        <v>5.3255167000315802E-2</v>
      </c>
      <c r="I3" s="4">
        <v>0.174720875000275</v>
      </c>
      <c r="J3" s="4">
        <v>0.24558804200023501</v>
      </c>
    </row>
    <row r="4" spans="1:10" x14ac:dyDescent="0.25">
      <c r="A4">
        <v>3</v>
      </c>
      <c r="B4">
        <v>25</v>
      </c>
      <c r="C4" s="4">
        <v>3.4204645156860298</v>
      </c>
      <c r="D4" s="4">
        <v>10.010939359664899</v>
      </c>
      <c r="E4" s="4">
        <v>17.008090019226</v>
      </c>
      <c r="F4" s="4">
        <v>1425.4224481582601</v>
      </c>
      <c r="G4" s="4">
        <v>4.02426719665527E-3</v>
      </c>
      <c r="H4" s="4">
        <v>2.7863165999860901E-2</v>
      </c>
      <c r="I4" s="4">
        <v>0.103825333000713</v>
      </c>
      <c r="J4" s="4">
        <v>0.26194841599954</v>
      </c>
    </row>
    <row r="5" spans="1:10" x14ac:dyDescent="0.25">
      <c r="A5">
        <v>4</v>
      </c>
      <c r="B5">
        <v>25</v>
      </c>
      <c r="C5" s="4">
        <v>0.351595878601074</v>
      </c>
      <c r="D5" s="4">
        <v>8.5404961109161306</v>
      </c>
      <c r="E5" s="4">
        <v>27.0141856670379</v>
      </c>
      <c r="F5" s="4">
        <v>79622.901596307696</v>
      </c>
      <c r="G5" s="4">
        <v>4.1053295135498004E-3</v>
      </c>
      <c r="H5" s="4">
        <v>5.1364457999625301E-2</v>
      </c>
      <c r="I5" s="4">
        <v>5.12649590000364E-2</v>
      </c>
      <c r="J5" s="4">
        <v>0.151434417000018</v>
      </c>
    </row>
    <row r="6" spans="1:10" x14ac:dyDescent="0.25">
      <c r="A6">
        <v>5</v>
      </c>
      <c r="B6">
        <v>25</v>
      </c>
      <c r="C6" s="4">
        <v>1.79218649864196</v>
      </c>
      <c r="D6" s="4">
        <v>10.0670824050903</v>
      </c>
      <c r="E6" s="4">
        <v>20.0004465579986</v>
      </c>
      <c r="F6" s="4">
        <v>43438.653435230197</v>
      </c>
      <c r="G6" s="4">
        <v>4.1453838348388602E-3</v>
      </c>
      <c r="H6" s="4">
        <v>2.0007292000173E-2</v>
      </c>
      <c r="I6" s="4">
        <v>0.12626474999979101</v>
      </c>
      <c r="J6" s="4">
        <v>0.18059608299972699</v>
      </c>
    </row>
    <row r="7" spans="1:10" x14ac:dyDescent="0.25">
      <c r="A7">
        <v>6</v>
      </c>
      <c r="B7">
        <v>25</v>
      </c>
      <c r="C7" s="4">
        <v>0.19284844398498499</v>
      </c>
      <c r="D7" s="4">
        <v>10.538142442703201</v>
      </c>
      <c r="E7" s="4">
        <v>37.179535388946498</v>
      </c>
      <c r="F7" s="4">
        <v>86400.035922765703</v>
      </c>
      <c r="G7" s="4">
        <v>4.6305656433105399E-3</v>
      </c>
      <c r="H7" s="4">
        <v>4.92233330000999E-2</v>
      </c>
      <c r="I7" s="4">
        <v>0.10428475000026</v>
      </c>
      <c r="J7" s="4">
        <v>0.194003292000161</v>
      </c>
    </row>
    <row r="8" spans="1:10" x14ac:dyDescent="0.25">
      <c r="A8">
        <v>7</v>
      </c>
      <c r="B8">
        <v>25</v>
      </c>
      <c r="C8" s="4">
        <v>2.04270243644714</v>
      </c>
      <c r="D8" s="4">
        <v>13.6858465671539</v>
      </c>
      <c r="E8" s="4">
        <v>43.679955959319997</v>
      </c>
      <c r="F8" s="4">
        <v>86400.141284465702</v>
      </c>
      <c r="G8" s="4">
        <v>4.2986869812011701E-3</v>
      </c>
      <c r="H8" s="4">
        <v>5.5771708000065701E-2</v>
      </c>
      <c r="I8" s="4">
        <v>0.11870591700062499</v>
      </c>
      <c r="J8" s="4">
        <v>0.29773333400044</v>
      </c>
    </row>
    <row r="9" spans="1:10" x14ac:dyDescent="0.25">
      <c r="A9">
        <v>8</v>
      </c>
      <c r="B9">
        <v>25</v>
      </c>
      <c r="C9" s="4">
        <v>1.88013172149658</v>
      </c>
      <c r="D9" s="4">
        <v>15.0325124263763</v>
      </c>
      <c r="E9" s="4">
        <v>35.265093088150003</v>
      </c>
      <c r="F9" s="4">
        <v>86400.195896625504</v>
      </c>
      <c r="G9" s="4">
        <v>4.3210983276367101E-3</v>
      </c>
      <c r="H9" s="4">
        <v>5.1922249999734001E-2</v>
      </c>
      <c r="I9" s="4">
        <v>0.10405258399987299</v>
      </c>
      <c r="J9" s="4">
        <v>0.30845104099989801</v>
      </c>
    </row>
    <row r="10" spans="1:10" x14ac:dyDescent="0.25">
      <c r="A10">
        <v>9</v>
      </c>
      <c r="B10">
        <v>25</v>
      </c>
      <c r="C10" s="4">
        <v>0.31319165229797302</v>
      </c>
      <c r="D10" s="4">
        <v>27.342374086380001</v>
      </c>
      <c r="E10" s="4">
        <v>46.145465373992899</v>
      </c>
      <c r="F10" s="4">
        <v>86400.132020473393</v>
      </c>
      <c r="G10" s="4">
        <v>4.4243335723876901E-3</v>
      </c>
      <c r="H10" s="4">
        <v>5.66445829999793E-2</v>
      </c>
      <c r="I10" s="4">
        <v>9.3496290999610196E-2</v>
      </c>
      <c r="J10" s="4">
        <v>0.16896749999978</v>
      </c>
    </row>
    <row r="11" spans="1:10" x14ac:dyDescent="0.25">
      <c r="A11">
        <v>10</v>
      </c>
      <c r="B11">
        <v>25</v>
      </c>
      <c r="C11" s="4">
        <v>0.11955213546752901</v>
      </c>
      <c r="D11" s="4">
        <v>8.4801874160766602</v>
      </c>
      <c r="E11" s="4">
        <v>30.6950695514678</v>
      </c>
      <c r="F11" s="4">
        <v>86400.117207765506</v>
      </c>
      <c r="G11" s="4">
        <v>4.1575431823730399E-3</v>
      </c>
      <c r="H11" s="4">
        <v>6.4846166999814103E-2</v>
      </c>
      <c r="I11" s="4">
        <v>0.123557750000145</v>
      </c>
      <c r="J11" s="4">
        <v>0.19009912499950499</v>
      </c>
    </row>
    <row r="12" spans="1:10" x14ac:dyDescent="0.25">
      <c r="A12">
        <v>11</v>
      </c>
      <c r="B12">
        <v>40</v>
      </c>
      <c r="C12" s="4">
        <v>756.54569530487004</v>
      </c>
      <c r="D12" s="4">
        <v>78.926250696182194</v>
      </c>
      <c r="E12" s="4">
        <v>336.39172744750903</v>
      </c>
      <c r="F12" s="4"/>
      <c r="G12" s="4">
        <v>5.05590438842773E-3</v>
      </c>
      <c r="H12" s="4">
        <v>0.168602750000445</v>
      </c>
      <c r="I12" s="4">
        <v>0.82291654199980202</v>
      </c>
      <c r="J12" s="4">
        <v>2.42598616599934</v>
      </c>
    </row>
    <row r="13" spans="1:10" x14ac:dyDescent="0.25">
      <c r="A13">
        <v>12</v>
      </c>
      <c r="B13">
        <v>40</v>
      </c>
      <c r="C13" s="4">
        <v>10313.590175151799</v>
      </c>
      <c r="D13" s="4">
        <v>57.669784307479802</v>
      </c>
      <c r="E13" s="4">
        <v>124.701942443847</v>
      </c>
      <c r="F13" s="4"/>
      <c r="G13" s="4">
        <v>4.7380924224853498E-3</v>
      </c>
      <c r="H13" s="4">
        <v>0.103318750000198</v>
      </c>
      <c r="I13" s="4">
        <v>1.5188525009998499</v>
      </c>
      <c r="J13" s="4">
        <v>4.3989879189994099</v>
      </c>
    </row>
    <row r="14" spans="1:10" x14ac:dyDescent="0.25">
      <c r="A14">
        <v>13</v>
      </c>
      <c r="B14">
        <v>40</v>
      </c>
      <c r="C14" s="4">
        <v>86400.276016235293</v>
      </c>
      <c r="D14" s="4">
        <v>92.590262651443396</v>
      </c>
      <c r="E14" s="4">
        <v>196.18166255950899</v>
      </c>
      <c r="F14" s="4"/>
      <c r="G14" s="4">
        <v>4.8034191131591797E-3</v>
      </c>
      <c r="H14" s="4">
        <v>0.13974787500001101</v>
      </c>
      <c r="I14" s="4">
        <v>0.97011229200052096</v>
      </c>
      <c r="J14" s="4">
        <v>8.9091196710005498</v>
      </c>
    </row>
    <row r="15" spans="1:10" x14ac:dyDescent="0.25">
      <c r="A15">
        <v>14</v>
      </c>
      <c r="B15">
        <v>40</v>
      </c>
      <c r="C15" s="4">
        <v>2821.6056025028201</v>
      </c>
      <c r="D15" s="4">
        <v>49.555662393569897</v>
      </c>
      <c r="E15" s="4">
        <v>110.51520371437</v>
      </c>
      <c r="F15" s="4"/>
      <c r="G15" s="4">
        <v>5.0327777862548802E-3</v>
      </c>
      <c r="H15" s="4">
        <v>7.4470166000082799E-2</v>
      </c>
      <c r="I15" s="4">
        <v>0.88722950099963704</v>
      </c>
      <c r="J15" s="4">
        <v>4.9841860440001202</v>
      </c>
    </row>
    <row r="16" spans="1:10" x14ac:dyDescent="0.25">
      <c r="A16">
        <v>15</v>
      </c>
      <c r="B16">
        <v>40</v>
      </c>
      <c r="C16" s="4">
        <v>19938.966321229898</v>
      </c>
      <c r="D16" s="4">
        <v>68.489382982254</v>
      </c>
      <c r="E16" s="4">
        <v>240.73659229278499</v>
      </c>
      <c r="F16" s="4"/>
      <c r="G16" s="4">
        <v>4.9045085906982396E-3</v>
      </c>
      <c r="H16" s="4">
        <v>8.8303416000144297E-2</v>
      </c>
      <c r="I16" s="4">
        <v>0.81283458399957398</v>
      </c>
      <c r="J16" s="4">
        <v>1.8357979590000399</v>
      </c>
    </row>
    <row r="17" spans="1:10" x14ac:dyDescent="0.25">
      <c r="A17">
        <v>16</v>
      </c>
      <c r="B17">
        <v>40</v>
      </c>
      <c r="C17" s="4">
        <v>430.32573366165099</v>
      </c>
      <c r="D17" s="4">
        <v>58.673640489578197</v>
      </c>
      <c r="E17" s="4">
        <v>262.88486266136101</v>
      </c>
      <c r="F17" s="4"/>
      <c r="G17" s="4">
        <v>4.8835277557373004E-3</v>
      </c>
      <c r="H17" s="4">
        <v>0.20691229200019701</v>
      </c>
      <c r="I17" s="4">
        <v>1.18243399999937</v>
      </c>
      <c r="J17" s="4">
        <v>3.3875301259995401</v>
      </c>
    </row>
    <row r="18" spans="1:10" x14ac:dyDescent="0.25">
      <c r="A18">
        <v>17</v>
      </c>
      <c r="B18">
        <v>40</v>
      </c>
      <c r="C18" s="4">
        <v>3930.6082119941698</v>
      </c>
      <c r="D18" s="4">
        <v>58.510285615920999</v>
      </c>
      <c r="E18" s="4">
        <v>241.108869075775</v>
      </c>
      <c r="F18" s="4"/>
      <c r="G18" s="4">
        <v>4.7316551208495998E-3</v>
      </c>
      <c r="H18" s="4">
        <v>0.116587292000076</v>
      </c>
      <c r="I18" s="4">
        <v>1.0260740840003499</v>
      </c>
      <c r="J18" s="4">
        <v>2.1229899179998002</v>
      </c>
    </row>
    <row r="19" spans="1:10" x14ac:dyDescent="0.25">
      <c r="A19">
        <v>18</v>
      </c>
      <c r="B19">
        <v>40</v>
      </c>
      <c r="C19" s="4">
        <v>3804.9753289222699</v>
      </c>
      <c r="D19" s="4">
        <v>57.792312145233097</v>
      </c>
      <c r="E19" s="4">
        <v>132.336965322494</v>
      </c>
      <c r="F19" s="4"/>
      <c r="G19" s="4">
        <v>5.3415298461914002E-3</v>
      </c>
      <c r="H19" s="4">
        <v>0.11625504199992</v>
      </c>
      <c r="I19" s="4">
        <v>0.87141316699944504</v>
      </c>
      <c r="J19" s="4">
        <v>3.1248001260000802</v>
      </c>
    </row>
    <row r="20" spans="1:10" x14ac:dyDescent="0.25">
      <c r="A20">
        <v>19</v>
      </c>
      <c r="B20">
        <v>40</v>
      </c>
      <c r="C20" s="4">
        <v>4533.96942925453</v>
      </c>
      <c r="D20" s="4">
        <v>43.429264545440603</v>
      </c>
      <c r="E20" s="4">
        <v>184.54431152343699</v>
      </c>
      <c r="F20" s="4"/>
      <c r="G20" s="4">
        <v>4.7674179077148403E-3</v>
      </c>
      <c r="H20" s="4">
        <v>9.3740249999882494E-2</v>
      </c>
      <c r="I20" s="4">
        <v>0.79964345899952605</v>
      </c>
      <c r="J20" s="4">
        <v>3.6631602939996801</v>
      </c>
    </row>
    <row r="21" spans="1:10" x14ac:dyDescent="0.25">
      <c r="A21">
        <v>20</v>
      </c>
      <c r="B21">
        <v>40</v>
      </c>
      <c r="C21" s="4">
        <v>86402.942539453506</v>
      </c>
      <c r="D21" s="4">
        <v>75.783718585968003</v>
      </c>
      <c r="E21" s="4">
        <v>272.98981332778902</v>
      </c>
      <c r="F21" s="4"/>
      <c r="G21" s="4">
        <v>4.8246383666992101E-3</v>
      </c>
      <c r="H21" s="4">
        <v>0.202652332999605</v>
      </c>
      <c r="I21" s="4">
        <v>1.67325000100026</v>
      </c>
      <c r="J21" s="4">
        <v>8.0786281290002009</v>
      </c>
    </row>
    <row r="22" spans="1:10" x14ac:dyDescent="0.25">
      <c r="A22">
        <v>21</v>
      </c>
      <c r="B22">
        <v>50</v>
      </c>
      <c r="C22" s="4"/>
      <c r="D22" s="4">
        <v>148.485704660415</v>
      </c>
      <c r="E22" s="4">
        <v>742.771787166595</v>
      </c>
      <c r="F22" s="4"/>
      <c r="G22" s="4">
        <v>5.3641796112060504E-3</v>
      </c>
      <c r="H22" s="4">
        <v>0.165316750000329</v>
      </c>
      <c r="I22" s="4">
        <v>2.4920137510007399</v>
      </c>
      <c r="J22" s="4">
        <v>18.430154466999699</v>
      </c>
    </row>
    <row r="23" spans="1:10" x14ac:dyDescent="0.25">
      <c r="A23">
        <v>22</v>
      </c>
      <c r="B23">
        <v>50</v>
      </c>
      <c r="C23" s="4"/>
      <c r="D23" s="4">
        <v>68.101652383804307</v>
      </c>
      <c r="E23" s="4">
        <v>188.78203177451999</v>
      </c>
      <c r="F23" s="4"/>
      <c r="G23" s="4">
        <v>5.5255889892578099E-3</v>
      </c>
      <c r="H23" s="4">
        <v>0.40008525000030198</v>
      </c>
      <c r="I23" s="4">
        <v>4.7785656269998</v>
      </c>
      <c r="J23" s="4">
        <v>13.6218335060002</v>
      </c>
    </row>
    <row r="24" spans="1:10" x14ac:dyDescent="0.25">
      <c r="A24">
        <v>23</v>
      </c>
      <c r="B24">
        <v>50</v>
      </c>
      <c r="C24" s="4"/>
      <c r="D24" s="4">
        <v>163.80628585815401</v>
      </c>
      <c r="E24" s="4">
        <v>625.075266361236</v>
      </c>
      <c r="F24" s="4"/>
      <c r="G24" s="4">
        <v>5.6612491607665998E-3</v>
      </c>
      <c r="H24" s="4">
        <v>0.33562787599976202</v>
      </c>
      <c r="I24" s="4">
        <v>3.28088875100002</v>
      </c>
      <c r="J24" s="4">
        <v>20.098683342000101</v>
      </c>
    </row>
    <row r="25" spans="1:10" x14ac:dyDescent="0.25">
      <c r="A25">
        <v>24</v>
      </c>
      <c r="B25">
        <v>50</v>
      </c>
      <c r="C25" s="4"/>
      <c r="D25" s="4">
        <v>132.75861263275101</v>
      </c>
      <c r="E25" s="4">
        <v>429.64812469482399</v>
      </c>
      <c r="F25" s="4"/>
      <c r="G25" s="4">
        <v>6.07061386108398E-3</v>
      </c>
      <c r="H25" s="4">
        <v>0.38118024999994299</v>
      </c>
      <c r="I25" s="4">
        <v>2.7484046260005899</v>
      </c>
      <c r="J25" s="4">
        <v>18.026117092000199</v>
      </c>
    </row>
    <row r="26" spans="1:10" x14ac:dyDescent="0.25">
      <c r="A26">
        <v>25</v>
      </c>
      <c r="B26">
        <v>50</v>
      </c>
      <c r="C26" s="4"/>
      <c r="D26" s="4">
        <v>671.99959683418194</v>
      </c>
      <c r="E26" s="4">
        <v>2373.39980578422</v>
      </c>
      <c r="F26" s="4"/>
      <c r="G26" s="4">
        <v>5.7797431945800703E-3</v>
      </c>
      <c r="H26" s="4">
        <v>0.193798458999935</v>
      </c>
      <c r="I26" s="4">
        <v>2.47690783400048</v>
      </c>
      <c r="J26" s="4">
        <v>13.3802078809994</v>
      </c>
    </row>
    <row r="27" spans="1:10" x14ac:dyDescent="0.25">
      <c r="A27">
        <v>26</v>
      </c>
      <c r="B27">
        <v>50</v>
      </c>
      <c r="C27" s="4"/>
      <c r="D27" s="4">
        <v>130.107779741287</v>
      </c>
      <c r="E27" s="4">
        <v>602.71774530410698</v>
      </c>
      <c r="F27" s="4"/>
      <c r="G27" s="4">
        <v>5.63573837280273E-3</v>
      </c>
      <c r="H27" s="4">
        <v>0.28343674999996399</v>
      </c>
      <c r="I27" s="4">
        <v>4.3689845439994297</v>
      </c>
      <c r="J27" s="4">
        <v>15.811426299999701</v>
      </c>
    </row>
    <row r="28" spans="1:10" x14ac:dyDescent="0.25">
      <c r="A28">
        <v>27</v>
      </c>
      <c r="B28">
        <v>50</v>
      </c>
      <c r="C28" s="4"/>
      <c r="D28" s="4">
        <v>163.08274078369101</v>
      </c>
      <c r="E28" s="4">
        <v>833.21767520904496</v>
      </c>
      <c r="F28" s="4"/>
      <c r="G28" s="4">
        <v>5.7203769683837804E-3</v>
      </c>
      <c r="H28" s="4">
        <v>0.15869841599987899</v>
      </c>
      <c r="I28" s="4">
        <v>1.92413308400045</v>
      </c>
      <c r="J28" s="4">
        <v>4.00780341800054</v>
      </c>
    </row>
    <row r="29" spans="1:10" x14ac:dyDescent="0.25">
      <c r="A29">
        <v>28</v>
      </c>
      <c r="B29">
        <v>50</v>
      </c>
      <c r="C29" s="4"/>
      <c r="D29" s="4">
        <v>133.62734746932901</v>
      </c>
      <c r="E29" s="4">
        <v>517.27748632430996</v>
      </c>
      <c r="F29" s="4"/>
      <c r="G29" s="4">
        <v>5.7938098907470703E-3</v>
      </c>
      <c r="H29" s="4">
        <v>0.25469179199990299</v>
      </c>
      <c r="I29" s="4">
        <v>2.8002696270004801</v>
      </c>
      <c r="J29" s="4">
        <v>7.0354148360002</v>
      </c>
    </row>
    <row r="30" spans="1:10" x14ac:dyDescent="0.25">
      <c r="A30">
        <v>29</v>
      </c>
      <c r="B30">
        <v>50</v>
      </c>
      <c r="C30" s="4">
        <v>86400.255258798599</v>
      </c>
      <c r="D30" s="4">
        <v>116.93431019783</v>
      </c>
      <c r="E30" s="4">
        <v>448.17441725730799</v>
      </c>
      <c r="F30" s="4"/>
      <c r="G30" s="4">
        <v>5.5742263793945304E-3</v>
      </c>
      <c r="H30" s="4">
        <v>0.30268154199984498</v>
      </c>
      <c r="I30" s="4">
        <v>3.97414858499996</v>
      </c>
      <c r="J30" s="4">
        <v>14.789426590000399</v>
      </c>
    </row>
    <row r="31" spans="1:10" x14ac:dyDescent="0.25">
      <c r="A31">
        <v>30</v>
      </c>
      <c r="B31">
        <v>50</v>
      </c>
      <c r="C31" s="4">
        <v>86400.260275602297</v>
      </c>
      <c r="D31" s="4">
        <v>155.38067221641501</v>
      </c>
      <c r="E31" s="4">
        <v>761.49398493766705</v>
      </c>
      <c r="F31" s="4"/>
      <c r="G31" s="4">
        <v>6.0241222381591797E-3</v>
      </c>
      <c r="H31" s="4">
        <v>0.20384345899992601</v>
      </c>
      <c r="I31" s="4">
        <v>2.0492544589997101</v>
      </c>
      <c r="J31" s="4">
        <v>6.93431383700044</v>
      </c>
    </row>
    <row r="32" spans="1:10" x14ac:dyDescent="0.25">
      <c r="A32">
        <v>31</v>
      </c>
      <c r="B32">
        <v>75</v>
      </c>
      <c r="C32" s="4"/>
      <c r="D32" s="4">
        <v>636.51029920578003</v>
      </c>
      <c r="E32" s="4">
        <v>829.766471147537</v>
      </c>
      <c r="F32" s="4"/>
      <c r="G32" s="4">
        <v>7.2510242462158203E-3</v>
      </c>
      <c r="H32" s="4">
        <v>0.85136941800010302</v>
      </c>
      <c r="I32" s="4">
        <v>13.0287071299999</v>
      </c>
      <c r="J32" s="4">
        <v>56.528150317999398</v>
      </c>
    </row>
    <row r="33" spans="1:10" x14ac:dyDescent="0.25">
      <c r="A33">
        <v>32</v>
      </c>
      <c r="B33">
        <v>75</v>
      </c>
      <c r="C33" s="4"/>
      <c r="D33" s="4">
        <v>801.98344182968106</v>
      </c>
      <c r="E33" s="4">
        <v>990.50533342361405</v>
      </c>
      <c r="F33" s="4"/>
      <c r="G33" s="4">
        <v>7.1249008178710903E-3</v>
      </c>
      <c r="H33" s="4">
        <v>0.52399945800016201</v>
      </c>
      <c r="I33" s="4">
        <v>18.090029300000399</v>
      </c>
      <c r="J33" s="4">
        <v>96.128000085000096</v>
      </c>
    </row>
    <row r="34" spans="1:10" x14ac:dyDescent="0.25">
      <c r="A34">
        <v>33</v>
      </c>
      <c r="B34">
        <v>75</v>
      </c>
      <c r="C34" s="4"/>
      <c r="D34" s="4">
        <v>862.76423358917202</v>
      </c>
      <c r="E34" s="4">
        <v>1056.46148824691</v>
      </c>
      <c r="F34" s="4"/>
      <c r="G34" s="4">
        <v>7.4980258941650304E-3</v>
      </c>
      <c r="H34" s="4">
        <v>0.82913062499983403</v>
      </c>
      <c r="I34" s="4">
        <v>25.0604030530003</v>
      </c>
      <c r="J34" s="4">
        <v>177.60294691299899</v>
      </c>
    </row>
    <row r="35" spans="1:10" x14ac:dyDescent="0.25">
      <c r="A35">
        <v>34</v>
      </c>
      <c r="B35">
        <v>75</v>
      </c>
      <c r="C35" s="4"/>
      <c r="D35" s="4">
        <v>797.57793855667103</v>
      </c>
      <c r="E35" s="4">
        <v>997.39090871810902</v>
      </c>
      <c r="F35" s="4"/>
      <c r="G35" s="4">
        <v>7.43985176086425E-3</v>
      </c>
      <c r="H35" s="4">
        <v>0.43395962500016999</v>
      </c>
      <c r="I35" s="4">
        <v>13.9307466729997</v>
      </c>
      <c r="J35" s="4">
        <v>85.405975870999995</v>
      </c>
    </row>
    <row r="36" spans="1:10" x14ac:dyDescent="0.25">
      <c r="A36">
        <v>35</v>
      </c>
      <c r="B36">
        <v>75</v>
      </c>
      <c r="C36" s="4"/>
      <c r="D36" s="4">
        <v>737.52451467514004</v>
      </c>
      <c r="E36" s="4">
        <v>947.693143606185</v>
      </c>
      <c r="F36" s="4"/>
      <c r="G36" s="4">
        <v>7.4191093444824201E-3</v>
      </c>
      <c r="H36" s="4">
        <v>0.73774899999989396</v>
      </c>
      <c r="I36" s="4">
        <v>18.773501841999799</v>
      </c>
      <c r="J36" s="4">
        <v>70.043700572999995</v>
      </c>
    </row>
    <row r="37" spans="1:10" x14ac:dyDescent="0.25">
      <c r="A37">
        <v>36</v>
      </c>
      <c r="B37">
        <v>75</v>
      </c>
      <c r="C37" s="4"/>
      <c r="D37" s="4">
        <v>12748.104264736099</v>
      </c>
      <c r="E37" s="4">
        <v>1018.60106301307</v>
      </c>
      <c r="F37" s="4"/>
      <c r="G37" s="4">
        <v>7.6315402984619097E-3</v>
      </c>
      <c r="H37" s="4">
        <v>0.48733279199996099</v>
      </c>
      <c r="I37" s="4">
        <v>3.9797428349993398</v>
      </c>
      <c r="J37" s="4">
        <v>21.245699134999899</v>
      </c>
    </row>
    <row r="38" spans="1:10" x14ac:dyDescent="0.25">
      <c r="A38">
        <v>37</v>
      </c>
      <c r="B38">
        <v>75</v>
      </c>
      <c r="C38" s="4"/>
      <c r="D38" s="4">
        <v>859.79220128059296</v>
      </c>
      <c r="E38" s="4">
        <v>1054.3817796707101</v>
      </c>
      <c r="F38" s="4"/>
      <c r="G38" s="4">
        <v>6.9537162780761701E-3</v>
      </c>
      <c r="H38" s="4">
        <v>1.9745873339997999</v>
      </c>
      <c r="I38" s="4">
        <v>25.6964639699999</v>
      </c>
      <c r="J38" s="4">
        <v>159.59676973800001</v>
      </c>
    </row>
    <row r="39" spans="1:10" x14ac:dyDescent="0.25">
      <c r="A39">
        <v>38</v>
      </c>
      <c r="B39">
        <v>75</v>
      </c>
      <c r="C39" s="4"/>
      <c r="D39" s="4">
        <v>966.47409462928704</v>
      </c>
      <c r="E39" s="4">
        <v>1181.8140380382499</v>
      </c>
      <c r="F39" s="4"/>
      <c r="G39" s="4">
        <v>6.7458152770995998E-3</v>
      </c>
      <c r="H39" s="4">
        <v>7.0090071280001203</v>
      </c>
      <c r="I39" s="4">
        <v>30.645577221999702</v>
      </c>
      <c r="J39" s="4">
        <v>236.93741298399999</v>
      </c>
    </row>
    <row r="40" spans="1:10" x14ac:dyDescent="0.25">
      <c r="A40">
        <v>39</v>
      </c>
      <c r="B40">
        <v>75</v>
      </c>
      <c r="C40" s="4"/>
      <c r="D40" s="4">
        <v>499.41710233688298</v>
      </c>
      <c r="E40" s="4">
        <v>660.48236823081902</v>
      </c>
      <c r="F40" s="4"/>
      <c r="G40" s="4">
        <v>7.1530342102050703E-3</v>
      </c>
      <c r="H40" s="4">
        <v>0.74755229199990902</v>
      </c>
      <c r="I40" s="4">
        <v>6.8716945449996203</v>
      </c>
      <c r="J40" s="4">
        <v>37.626907600000699</v>
      </c>
    </row>
    <row r="41" spans="1:10" x14ac:dyDescent="0.25">
      <c r="A41">
        <v>40</v>
      </c>
      <c r="B41">
        <v>75</v>
      </c>
      <c r="C41" s="4"/>
      <c r="D41" s="4">
        <v>1306.3808846473601</v>
      </c>
      <c r="E41" s="4">
        <v>895.20780110359101</v>
      </c>
      <c r="F41" s="4"/>
      <c r="G41" s="4">
        <v>7.6365470886230399E-3</v>
      </c>
      <c r="H41" s="4">
        <v>1.2455521669999099</v>
      </c>
      <c r="I41" s="4">
        <v>6.0642318359996299</v>
      </c>
      <c r="J41" s="4">
        <v>40.264259976998801</v>
      </c>
    </row>
    <row r="42" spans="1:10" x14ac:dyDescent="0.25">
      <c r="A42">
        <v>41</v>
      </c>
      <c r="B42">
        <v>100</v>
      </c>
      <c r="C42" s="4"/>
      <c r="D42" s="4">
        <v>3565.7875645160598</v>
      </c>
      <c r="E42" s="4">
        <v>4040.33326697349</v>
      </c>
      <c r="F42" s="4"/>
      <c r="G42" s="4">
        <v>9.1185569763183594E-3</v>
      </c>
      <c r="H42" s="4">
        <v>4.4783545440000099</v>
      </c>
      <c r="I42" s="4">
        <v>105.602236048999</v>
      </c>
      <c r="J42" s="4">
        <v>899.17824857400001</v>
      </c>
    </row>
    <row r="43" spans="1:10" x14ac:dyDescent="0.25">
      <c r="A43">
        <v>42</v>
      </c>
      <c r="B43">
        <v>100</v>
      </c>
      <c r="C43" s="4"/>
      <c r="D43" s="4">
        <v>2059.7729022502899</v>
      </c>
      <c r="E43" s="4">
        <v>3022.9244031906101</v>
      </c>
      <c r="F43" s="4"/>
      <c r="G43" s="4">
        <v>8.72802734375E-3</v>
      </c>
      <c r="H43" s="4">
        <v>1.51752133400032</v>
      </c>
      <c r="I43" s="4">
        <v>28.185838387999802</v>
      </c>
      <c r="J43" s="4">
        <v>203.371497341999</v>
      </c>
    </row>
    <row r="44" spans="1:10" x14ac:dyDescent="0.25">
      <c r="A44">
        <v>43</v>
      </c>
      <c r="B44">
        <v>100</v>
      </c>
      <c r="C44" s="4"/>
      <c r="D44" s="4">
        <v>2591.8490533828699</v>
      </c>
      <c r="E44" s="4">
        <v>3170.6341514587398</v>
      </c>
      <c r="F44" s="4"/>
      <c r="G44" s="4">
        <v>8.9905261993408203E-3</v>
      </c>
      <c r="H44" s="4">
        <v>2.6676563349997102</v>
      </c>
      <c r="I44" s="4">
        <v>95.267819126000106</v>
      </c>
      <c r="J44" s="4">
        <v>331.37683652599998</v>
      </c>
    </row>
    <row r="45" spans="1:10" x14ac:dyDescent="0.25">
      <c r="A45">
        <v>44</v>
      </c>
      <c r="B45">
        <v>100</v>
      </c>
      <c r="C45" s="4"/>
      <c r="D45" s="4">
        <v>3300.5156140327399</v>
      </c>
      <c r="E45" s="4">
        <v>3691.8290073871599</v>
      </c>
      <c r="F45" s="4"/>
      <c r="G45" s="4">
        <v>8.6023807525634696E-3</v>
      </c>
      <c r="H45" s="4">
        <v>1.67711304199974</v>
      </c>
      <c r="I45" s="4">
        <v>69.539149072999805</v>
      </c>
      <c r="J45" s="4">
        <v>681.20098185200004</v>
      </c>
    </row>
    <row r="46" spans="1:10" x14ac:dyDescent="0.25">
      <c r="A46">
        <v>45</v>
      </c>
      <c r="B46">
        <v>100</v>
      </c>
      <c r="C46" s="4"/>
      <c r="D46" s="4">
        <v>2714.5142743587398</v>
      </c>
      <c r="E46" s="4">
        <v>3101.1883974075299</v>
      </c>
      <c r="F46" s="4"/>
      <c r="G46" s="4">
        <v>8.9101791381835903E-3</v>
      </c>
      <c r="H46" s="4">
        <v>2.6582356270000602</v>
      </c>
      <c r="I46" s="4">
        <v>77.706257493999999</v>
      </c>
      <c r="J46" s="4">
        <v>430.75752302799901</v>
      </c>
    </row>
    <row r="47" spans="1:10" x14ac:dyDescent="0.25">
      <c r="A47">
        <v>46</v>
      </c>
      <c r="B47">
        <v>100</v>
      </c>
      <c r="C47" s="4"/>
      <c r="D47" s="4">
        <v>3459.2452313899898</v>
      </c>
      <c r="E47" s="4">
        <v>3352.1920790672302</v>
      </c>
      <c r="F47" s="4"/>
      <c r="G47" s="4">
        <v>8.9771747589111293E-3</v>
      </c>
      <c r="H47" s="4">
        <v>1.88445083500027</v>
      </c>
      <c r="I47" s="4">
        <v>33.318394347999799</v>
      </c>
      <c r="J47" s="4">
        <v>142.233111815001</v>
      </c>
    </row>
    <row r="48" spans="1:10" x14ac:dyDescent="0.25">
      <c r="A48">
        <v>47</v>
      </c>
      <c r="B48">
        <v>100</v>
      </c>
      <c r="C48" s="4"/>
      <c r="D48" s="4">
        <v>2488.1506261825498</v>
      </c>
      <c r="E48" s="4">
        <v>3088.3284564018199</v>
      </c>
      <c r="F48" s="4"/>
      <c r="G48" s="4">
        <v>9.4974040985107405E-3</v>
      </c>
      <c r="H48" s="4">
        <v>1.2422580009997499</v>
      </c>
      <c r="I48" s="4">
        <v>43.969725020000602</v>
      </c>
      <c r="J48" s="4">
        <v>156.993464821</v>
      </c>
    </row>
    <row r="49" spans="1:15" x14ac:dyDescent="0.25">
      <c r="A49">
        <v>48</v>
      </c>
      <c r="B49">
        <v>100</v>
      </c>
      <c r="C49" s="4"/>
      <c r="D49" s="4">
        <v>6326.9702832698804</v>
      </c>
      <c r="E49" s="4">
        <v>3379.9579806327802</v>
      </c>
      <c r="F49" s="4"/>
      <c r="G49" s="4">
        <v>9.0699195861816406E-3</v>
      </c>
      <c r="H49" s="4">
        <v>1.23514304200034</v>
      </c>
      <c r="I49" s="4">
        <v>3.32769850099975</v>
      </c>
      <c r="J49" s="4">
        <v>87.265396372999007</v>
      </c>
    </row>
    <row r="50" spans="1:15" x14ac:dyDescent="0.25">
      <c r="A50">
        <v>49</v>
      </c>
      <c r="B50">
        <v>100</v>
      </c>
      <c r="C50" s="4"/>
      <c r="D50" s="4">
        <v>2521.6155614852901</v>
      </c>
      <c r="E50" s="4">
        <v>3149.4037983417502</v>
      </c>
      <c r="F50" s="4"/>
      <c r="G50" s="4">
        <v>8.8615417480468698E-3</v>
      </c>
      <c r="H50" s="4">
        <v>2.9854539190000602</v>
      </c>
      <c r="I50" s="4">
        <v>44.019741561999503</v>
      </c>
      <c r="J50" s="4">
        <v>549.05003112499901</v>
      </c>
    </row>
    <row r="51" spans="1:15" x14ac:dyDescent="0.25">
      <c r="A51">
        <v>50</v>
      </c>
      <c r="B51">
        <v>100</v>
      </c>
      <c r="C51" s="4"/>
      <c r="D51" s="4">
        <v>2685.71052122116</v>
      </c>
      <c r="E51" s="4">
        <v>3183.6753487586898</v>
      </c>
      <c r="F51" s="4"/>
      <c r="G51" s="4">
        <v>8.8996887207031198E-3</v>
      </c>
      <c r="H51" s="4">
        <v>1.1968654590000301</v>
      </c>
      <c r="I51" s="4">
        <v>55.732546899999697</v>
      </c>
      <c r="J51" s="4">
        <v>367.492057958001</v>
      </c>
      <c r="O51" s="4"/>
    </row>
    <row r="52" spans="1:15" x14ac:dyDescent="0.25">
      <c r="A52">
        <v>51</v>
      </c>
      <c r="B52">
        <v>20</v>
      </c>
      <c r="C52" s="4">
        <v>6.68661594390869E-2</v>
      </c>
      <c r="D52" s="4">
        <v>9.0063676834106392</v>
      </c>
      <c r="E52" s="4">
        <v>15.144894361495901</v>
      </c>
      <c r="F52" s="4">
        <v>26759.819811105699</v>
      </c>
      <c r="G52" s="4">
        <v>4.2831897735595703E-3</v>
      </c>
      <c r="H52" s="4">
        <v>4.4080166999719901E-2</v>
      </c>
      <c r="I52" s="4">
        <v>7.0189584000218005E-2</v>
      </c>
      <c r="J52" s="4">
        <v>0.102808667001227</v>
      </c>
    </row>
    <row r="53" spans="1:15" x14ac:dyDescent="0.25">
      <c r="A53">
        <v>52</v>
      </c>
      <c r="B53">
        <v>20</v>
      </c>
      <c r="C53" s="4">
        <v>5.84690570831298E-2</v>
      </c>
      <c r="D53" s="4">
        <v>5.6918811798095703</v>
      </c>
      <c r="E53" s="4">
        <v>23.852615594863799</v>
      </c>
      <c r="F53" s="4">
        <v>86400.179282665194</v>
      </c>
      <c r="G53" s="4">
        <v>3.7240982055664002E-3</v>
      </c>
      <c r="H53" s="4">
        <v>5.78074999998534E-2</v>
      </c>
      <c r="I53" s="4">
        <v>9.0659749999758704E-2</v>
      </c>
      <c r="J53" s="4">
        <v>0.16066162499919301</v>
      </c>
    </row>
    <row r="54" spans="1:15" x14ac:dyDescent="0.25">
      <c r="A54">
        <v>53</v>
      </c>
      <c r="B54">
        <v>20</v>
      </c>
      <c r="C54" s="4">
        <v>2.0714759826660101E-2</v>
      </c>
      <c r="D54" s="4">
        <v>3.1399140357971098</v>
      </c>
      <c r="E54" s="4">
        <v>7.6340012550354004</v>
      </c>
      <c r="F54" s="4">
        <v>94.903298854827796</v>
      </c>
      <c r="G54" s="4">
        <v>3.6454200744628902E-3</v>
      </c>
      <c r="H54" s="4">
        <v>3.9888125000288703E-2</v>
      </c>
      <c r="I54" s="4">
        <v>5.8049999999639099E-2</v>
      </c>
      <c r="J54" s="4">
        <v>8.8539541999125504E-2</v>
      </c>
    </row>
    <row r="55" spans="1:15" x14ac:dyDescent="0.25">
      <c r="A55">
        <v>54</v>
      </c>
      <c r="B55">
        <v>20</v>
      </c>
      <c r="C55" s="4">
        <v>3.0108928680419901E-2</v>
      </c>
      <c r="D55" s="4">
        <v>3.1323459148406898</v>
      </c>
      <c r="E55" s="4">
        <v>6.0626444816589302</v>
      </c>
      <c r="F55" s="4">
        <v>456.62761378288201</v>
      </c>
      <c r="G55" s="4">
        <v>3.5321712493896402E-3</v>
      </c>
      <c r="H55" s="4">
        <v>2.8433916999802002E-2</v>
      </c>
      <c r="I55" s="4">
        <v>5.4628792000585201E-2</v>
      </c>
      <c r="J55" s="4">
        <v>8.8027249999868204E-2</v>
      </c>
    </row>
    <row r="56" spans="1:15" x14ac:dyDescent="0.25">
      <c r="A56">
        <v>55</v>
      </c>
      <c r="B56">
        <v>20</v>
      </c>
      <c r="C56" s="4">
        <v>6.2480211257934501E-2</v>
      </c>
      <c r="D56" s="4">
        <v>2.9986371994018501</v>
      </c>
      <c r="E56" s="4">
        <v>6.3127932548522896</v>
      </c>
      <c r="F56" s="4">
        <v>1248.4967966079701</v>
      </c>
      <c r="G56" s="4">
        <v>3.5791397094726502E-3</v>
      </c>
      <c r="H56" s="4">
        <v>6.6444000000046799E-2</v>
      </c>
      <c r="I56" s="4">
        <v>4.1546958999788303E-2</v>
      </c>
      <c r="J56" s="4">
        <v>9.9966666999534895E-2</v>
      </c>
    </row>
    <row r="57" spans="1:15" x14ac:dyDescent="0.25">
      <c r="A57">
        <v>56</v>
      </c>
      <c r="B57">
        <v>20</v>
      </c>
      <c r="C57" s="4">
        <v>2.21915245056152E-2</v>
      </c>
      <c r="D57" s="4">
        <v>5.0207715034484801</v>
      </c>
      <c r="E57" s="4">
        <v>9.9536929130554199</v>
      </c>
      <c r="F57" s="4">
        <v>1258.4213848114</v>
      </c>
      <c r="G57" s="4">
        <v>3.4809112548828099E-3</v>
      </c>
      <c r="H57" s="4">
        <v>5.5611165999834997E-2</v>
      </c>
      <c r="I57" s="4">
        <v>7.3612582999885406E-2</v>
      </c>
      <c r="J57" s="4">
        <v>0.113710666999395</v>
      </c>
    </row>
    <row r="58" spans="1:15" x14ac:dyDescent="0.25">
      <c r="A58">
        <v>57</v>
      </c>
      <c r="B58">
        <v>20</v>
      </c>
      <c r="C58" s="4">
        <v>0.146340131759643</v>
      </c>
      <c r="D58" s="4">
        <v>6.3730485439300502</v>
      </c>
      <c r="E58" s="4">
        <v>13.852207660675001</v>
      </c>
      <c r="F58" s="4">
        <v>86400.153110742496</v>
      </c>
      <c r="G58" s="4">
        <v>3.5440921783447201E-3</v>
      </c>
      <c r="H58" s="4">
        <v>4.8121415999958103E-2</v>
      </c>
      <c r="I58" s="4">
        <v>5.9643624999807798E-2</v>
      </c>
      <c r="J58" s="4">
        <v>0.24887812500128301</v>
      </c>
    </row>
    <row r="59" spans="1:15" x14ac:dyDescent="0.25">
      <c r="A59">
        <v>58</v>
      </c>
      <c r="B59">
        <v>20</v>
      </c>
      <c r="C59" s="4">
        <v>3.1080007553100499E-2</v>
      </c>
      <c r="D59" s="4">
        <v>3.35055232048034</v>
      </c>
      <c r="E59" s="4">
        <v>9.3668909072875906</v>
      </c>
      <c r="F59" s="4">
        <v>86400.115000963197</v>
      </c>
      <c r="G59" s="4">
        <v>3.5631656646728498E-3</v>
      </c>
      <c r="H59" s="4">
        <v>4.4324792000224898E-2</v>
      </c>
      <c r="I59" s="4">
        <v>6.7796667000038696E-2</v>
      </c>
      <c r="J59" s="4">
        <v>0.15493399999832</v>
      </c>
    </row>
    <row r="60" spans="1:15" x14ac:dyDescent="0.25">
      <c r="A60">
        <v>59</v>
      </c>
      <c r="B60">
        <v>20</v>
      </c>
      <c r="C60" s="4">
        <v>0.38172149658203097</v>
      </c>
      <c r="D60" s="4">
        <v>5.1801760196685702</v>
      </c>
      <c r="E60" s="4">
        <v>9.8184607028961093</v>
      </c>
      <c r="F60" s="4">
        <v>2838.11518716812</v>
      </c>
      <c r="G60" s="4">
        <v>3.4942626953125E-3</v>
      </c>
      <c r="H60" s="4">
        <v>1.50465840001743E-2</v>
      </c>
      <c r="I60" s="4">
        <v>7.1703583000271395E-2</v>
      </c>
      <c r="J60" s="4">
        <v>0.18527125100081299</v>
      </c>
    </row>
    <row r="61" spans="1:15" x14ac:dyDescent="0.25">
      <c r="A61">
        <v>60</v>
      </c>
      <c r="B61">
        <v>20</v>
      </c>
      <c r="C61" s="4">
        <v>4.34470176696777E-2</v>
      </c>
      <c r="D61" s="4">
        <v>4.0671200752258301</v>
      </c>
      <c r="E61" s="4">
        <v>12.3923120498657</v>
      </c>
      <c r="F61" s="4">
        <v>86400.285001039505</v>
      </c>
      <c r="G61" s="4">
        <v>3.8189888000488199E-3</v>
      </c>
      <c r="H61" s="4">
        <v>2.8228874999967901E-2</v>
      </c>
      <c r="I61" s="4">
        <v>5.3727833000266401E-2</v>
      </c>
      <c r="J61" s="4">
        <v>9.3913083999723299E-2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09221-4C14-46AE-8F54-19EC03BE7D46}">
  <dimension ref="A1:E61"/>
  <sheetViews>
    <sheetView topLeftCell="A16" workbookViewId="0">
      <selection activeCell="H30" sqref="H30"/>
    </sheetView>
  </sheetViews>
  <sheetFormatPr defaultRowHeight="15" x14ac:dyDescent="0.25"/>
  <cols>
    <col min="1" max="1" width="5" bestFit="1" customWidth="1"/>
    <col min="2" max="2" width="10.7109375" customWidth="1"/>
    <col min="3" max="3" width="25.28515625" bestFit="1" customWidth="1"/>
    <col min="4" max="4" width="49.42578125" bestFit="1" customWidth="1"/>
    <col min="5" max="7" width="21.28515625" customWidth="1"/>
    <col min="8" max="8" width="23.5703125" customWidth="1"/>
  </cols>
  <sheetData>
    <row r="1" spans="1:5" x14ac:dyDescent="0.25">
      <c r="A1" t="s">
        <v>253</v>
      </c>
      <c r="B1" t="s">
        <v>5</v>
      </c>
      <c r="C1" t="s">
        <v>203</v>
      </c>
      <c r="D1" t="s">
        <v>218</v>
      </c>
      <c r="E1" t="s">
        <v>233</v>
      </c>
    </row>
    <row r="2" spans="1:5" x14ac:dyDescent="0.25">
      <c r="A2">
        <v>1</v>
      </c>
      <c r="B2" t="s">
        <v>14</v>
      </c>
      <c r="C2" t="s">
        <v>17</v>
      </c>
      <c r="D2" t="s">
        <v>17</v>
      </c>
      <c r="E2" t="s">
        <v>223</v>
      </c>
    </row>
    <row r="3" spans="1:5" x14ac:dyDescent="0.25">
      <c r="A3">
        <v>2</v>
      </c>
      <c r="B3" t="s">
        <v>19</v>
      </c>
      <c r="C3" t="s">
        <v>21</v>
      </c>
      <c r="D3" t="s">
        <v>21</v>
      </c>
      <c r="E3" t="s">
        <v>21</v>
      </c>
    </row>
    <row r="4" spans="1:5" x14ac:dyDescent="0.25">
      <c r="A4">
        <v>3</v>
      </c>
      <c r="B4" t="s">
        <v>22</v>
      </c>
      <c r="C4" t="s">
        <v>23</v>
      </c>
      <c r="D4" t="s">
        <v>23</v>
      </c>
      <c r="E4" t="s">
        <v>23</v>
      </c>
    </row>
    <row r="5" spans="1:5" x14ac:dyDescent="0.25">
      <c r="A5">
        <v>4</v>
      </c>
      <c r="B5" t="s">
        <v>24</v>
      </c>
      <c r="C5" t="s">
        <v>27</v>
      </c>
      <c r="D5" t="s">
        <v>27</v>
      </c>
      <c r="E5" t="s">
        <v>27</v>
      </c>
    </row>
    <row r="6" spans="1:5" x14ac:dyDescent="0.25">
      <c r="A6">
        <v>5</v>
      </c>
      <c r="B6" t="s">
        <v>28</v>
      </c>
      <c r="C6" t="s">
        <v>30</v>
      </c>
      <c r="D6" t="s">
        <v>30</v>
      </c>
      <c r="E6" t="s">
        <v>30</v>
      </c>
    </row>
    <row r="7" spans="1:5" x14ac:dyDescent="0.25">
      <c r="A7">
        <v>6</v>
      </c>
      <c r="B7" t="s">
        <v>31</v>
      </c>
      <c r="C7" t="s">
        <v>32</v>
      </c>
      <c r="D7" t="s">
        <v>32</v>
      </c>
      <c r="E7" t="s">
        <v>32</v>
      </c>
    </row>
    <row r="8" spans="1:5" x14ac:dyDescent="0.25">
      <c r="A8">
        <v>7</v>
      </c>
      <c r="B8" t="s">
        <v>34</v>
      </c>
      <c r="C8" t="s">
        <v>37</v>
      </c>
      <c r="D8" t="s">
        <v>37</v>
      </c>
      <c r="E8" t="s">
        <v>37</v>
      </c>
    </row>
    <row r="9" spans="1:5" x14ac:dyDescent="0.25">
      <c r="A9">
        <v>8</v>
      </c>
      <c r="B9" t="s">
        <v>39</v>
      </c>
      <c r="C9" t="s">
        <v>40</v>
      </c>
      <c r="D9" t="s">
        <v>40</v>
      </c>
      <c r="E9" t="s">
        <v>40</v>
      </c>
    </row>
    <row r="10" spans="1:5" x14ac:dyDescent="0.25">
      <c r="A10">
        <v>9</v>
      </c>
      <c r="B10" t="s">
        <v>42</v>
      </c>
      <c r="C10" t="s">
        <v>44</v>
      </c>
      <c r="D10" t="s">
        <v>44</v>
      </c>
      <c r="E10" t="s">
        <v>44</v>
      </c>
    </row>
    <row r="11" spans="1:5" x14ac:dyDescent="0.25">
      <c r="A11">
        <v>10</v>
      </c>
      <c r="B11" t="s">
        <v>46</v>
      </c>
      <c r="C11" t="s">
        <v>48</v>
      </c>
      <c r="D11" t="s">
        <v>48</v>
      </c>
      <c r="E11" t="s">
        <v>48</v>
      </c>
    </row>
    <row r="12" spans="1:5" x14ac:dyDescent="0.25">
      <c r="A12">
        <v>11</v>
      </c>
      <c r="B12" t="s">
        <v>50</v>
      </c>
      <c r="C12" t="s">
        <v>53</v>
      </c>
      <c r="D12" t="s">
        <v>53</v>
      </c>
      <c r="E12" t="s">
        <v>53</v>
      </c>
    </row>
    <row r="13" spans="1:5" x14ac:dyDescent="0.25">
      <c r="A13">
        <v>12</v>
      </c>
      <c r="B13" t="s">
        <v>54</v>
      </c>
      <c r="C13" t="s">
        <v>55</v>
      </c>
      <c r="D13" t="s">
        <v>55</v>
      </c>
      <c r="E13" t="s">
        <v>55</v>
      </c>
    </row>
    <row r="14" spans="1:5" x14ac:dyDescent="0.25">
      <c r="A14">
        <v>13</v>
      </c>
      <c r="B14" t="s">
        <v>36</v>
      </c>
      <c r="C14" t="s">
        <v>57</v>
      </c>
      <c r="D14" t="s">
        <v>57</v>
      </c>
      <c r="E14" t="s">
        <v>224</v>
      </c>
    </row>
    <row r="15" spans="1:5" x14ac:dyDescent="0.25">
      <c r="A15">
        <v>14</v>
      </c>
      <c r="B15" t="s">
        <v>58</v>
      </c>
      <c r="C15" t="s">
        <v>60</v>
      </c>
      <c r="D15" t="s">
        <v>60</v>
      </c>
      <c r="E15" t="s">
        <v>60</v>
      </c>
    </row>
    <row r="16" spans="1:5" x14ac:dyDescent="0.25">
      <c r="A16">
        <v>15</v>
      </c>
      <c r="B16" t="s">
        <v>61</v>
      </c>
      <c r="C16" t="s">
        <v>62</v>
      </c>
      <c r="D16" t="s">
        <v>62</v>
      </c>
      <c r="E16" t="s">
        <v>62</v>
      </c>
    </row>
    <row r="17" spans="1:5" x14ac:dyDescent="0.25">
      <c r="A17">
        <v>16</v>
      </c>
      <c r="B17" t="s">
        <v>64</v>
      </c>
      <c r="C17" t="s">
        <v>67</v>
      </c>
      <c r="D17" t="s">
        <v>206</v>
      </c>
      <c r="E17" t="s">
        <v>206</v>
      </c>
    </row>
    <row r="18" spans="1:5" x14ac:dyDescent="0.25">
      <c r="A18">
        <v>17</v>
      </c>
      <c r="B18" t="s">
        <v>69</v>
      </c>
      <c r="C18" t="s">
        <v>71</v>
      </c>
      <c r="D18" t="s">
        <v>207</v>
      </c>
      <c r="E18" t="s">
        <v>225</v>
      </c>
    </row>
    <row r="19" spans="1:5" x14ac:dyDescent="0.25">
      <c r="A19">
        <v>18</v>
      </c>
      <c r="B19" t="s">
        <v>73</v>
      </c>
      <c r="C19" t="s">
        <v>74</v>
      </c>
      <c r="D19" t="s">
        <v>74</v>
      </c>
      <c r="E19" t="s">
        <v>74</v>
      </c>
    </row>
    <row r="20" spans="1:5" x14ac:dyDescent="0.25">
      <c r="A20">
        <v>19</v>
      </c>
      <c r="B20" t="s">
        <v>76</v>
      </c>
      <c r="C20" t="s">
        <v>77</v>
      </c>
      <c r="D20" t="s">
        <v>77</v>
      </c>
      <c r="E20" t="s">
        <v>226</v>
      </c>
    </row>
    <row r="21" spans="1:5" x14ac:dyDescent="0.25">
      <c r="A21">
        <v>20</v>
      </c>
      <c r="B21" t="s">
        <v>78</v>
      </c>
      <c r="C21" t="s">
        <v>79</v>
      </c>
      <c r="D21" t="s">
        <v>79</v>
      </c>
      <c r="E21" t="s">
        <v>79</v>
      </c>
    </row>
    <row r="22" spans="1:5" x14ac:dyDescent="0.25">
      <c r="A22">
        <v>21</v>
      </c>
      <c r="B22" t="s">
        <v>80</v>
      </c>
      <c r="C22" t="s">
        <v>81</v>
      </c>
      <c r="D22" t="s">
        <v>81</v>
      </c>
      <c r="E22" t="s">
        <v>81</v>
      </c>
    </row>
    <row r="23" spans="1:5" x14ac:dyDescent="0.25">
      <c r="A23">
        <v>22</v>
      </c>
      <c r="B23" t="s">
        <v>82</v>
      </c>
      <c r="C23" t="s">
        <v>84</v>
      </c>
      <c r="D23" t="s">
        <v>84</v>
      </c>
      <c r="E23" t="s">
        <v>84</v>
      </c>
    </row>
    <row r="24" spans="1:5" x14ac:dyDescent="0.25">
      <c r="A24">
        <v>23</v>
      </c>
      <c r="B24" t="s">
        <v>85</v>
      </c>
      <c r="C24" t="s">
        <v>88</v>
      </c>
      <c r="D24" t="s">
        <v>208</v>
      </c>
      <c r="E24" t="s">
        <v>227</v>
      </c>
    </row>
    <row r="25" spans="1:5" x14ac:dyDescent="0.25">
      <c r="A25">
        <v>24</v>
      </c>
      <c r="B25" t="s">
        <v>89</v>
      </c>
      <c r="C25" t="s">
        <v>92</v>
      </c>
      <c r="D25" t="s">
        <v>209</v>
      </c>
      <c r="E25" t="s">
        <v>228</v>
      </c>
    </row>
    <row r="26" spans="1:5" x14ac:dyDescent="0.25">
      <c r="A26">
        <v>25</v>
      </c>
      <c r="B26" t="s">
        <v>93</v>
      </c>
      <c r="C26" t="s">
        <v>96</v>
      </c>
      <c r="D26" t="s">
        <v>210</v>
      </c>
      <c r="E26" t="s">
        <v>229</v>
      </c>
    </row>
    <row r="27" spans="1:5" x14ac:dyDescent="0.25">
      <c r="A27">
        <v>26</v>
      </c>
      <c r="B27" t="s">
        <v>97</v>
      </c>
      <c r="C27" t="s">
        <v>99</v>
      </c>
      <c r="D27" t="s">
        <v>99</v>
      </c>
      <c r="E27" t="s">
        <v>99</v>
      </c>
    </row>
    <row r="28" spans="1:5" x14ac:dyDescent="0.25">
      <c r="A28">
        <v>27</v>
      </c>
      <c r="B28" t="s">
        <v>100</v>
      </c>
      <c r="C28" t="s">
        <v>101</v>
      </c>
      <c r="D28" t="s">
        <v>101</v>
      </c>
      <c r="E28" t="s">
        <v>101</v>
      </c>
    </row>
    <row r="29" spans="1:5" x14ac:dyDescent="0.25">
      <c r="A29">
        <v>28</v>
      </c>
      <c r="B29" t="s">
        <v>102</v>
      </c>
      <c r="C29" t="s">
        <v>104</v>
      </c>
      <c r="D29" t="s">
        <v>104</v>
      </c>
      <c r="E29" t="s">
        <v>230</v>
      </c>
    </row>
    <row r="30" spans="1:5" x14ac:dyDescent="0.25">
      <c r="A30">
        <v>29</v>
      </c>
      <c r="B30" t="s">
        <v>105</v>
      </c>
      <c r="C30" t="s">
        <v>107</v>
      </c>
      <c r="D30" t="s">
        <v>107</v>
      </c>
      <c r="E30" t="s">
        <v>107</v>
      </c>
    </row>
    <row r="31" spans="1:5" x14ac:dyDescent="0.25">
      <c r="A31">
        <v>30</v>
      </c>
      <c r="B31" t="s">
        <v>108</v>
      </c>
      <c r="C31" t="s">
        <v>109</v>
      </c>
      <c r="D31" t="s">
        <v>109</v>
      </c>
      <c r="E31" t="s">
        <v>109</v>
      </c>
    </row>
    <row r="32" spans="1:5" x14ac:dyDescent="0.25">
      <c r="A32">
        <v>31</v>
      </c>
      <c r="B32" t="s">
        <v>110</v>
      </c>
      <c r="C32" t="s">
        <v>111</v>
      </c>
      <c r="D32" t="s">
        <v>111</v>
      </c>
      <c r="E32" t="s">
        <v>111</v>
      </c>
    </row>
    <row r="33" spans="1:5" x14ac:dyDescent="0.25">
      <c r="A33">
        <v>32</v>
      </c>
      <c r="B33" t="s">
        <v>112</v>
      </c>
      <c r="C33" t="s">
        <v>113</v>
      </c>
      <c r="D33" t="s">
        <v>113</v>
      </c>
      <c r="E33" t="s">
        <v>113</v>
      </c>
    </row>
    <row r="34" spans="1:5" x14ac:dyDescent="0.25">
      <c r="A34">
        <v>33</v>
      </c>
      <c r="B34" t="s">
        <v>114</v>
      </c>
      <c r="C34" t="s">
        <v>116</v>
      </c>
      <c r="D34" t="s">
        <v>116</v>
      </c>
      <c r="E34" t="s">
        <v>116</v>
      </c>
    </row>
    <row r="35" spans="1:5" x14ac:dyDescent="0.25">
      <c r="A35">
        <v>34</v>
      </c>
      <c r="B35" t="s">
        <v>117</v>
      </c>
      <c r="C35" t="s">
        <v>119</v>
      </c>
      <c r="D35" t="s">
        <v>119</v>
      </c>
      <c r="E35" t="s">
        <v>119</v>
      </c>
    </row>
    <row r="36" spans="1:5" x14ac:dyDescent="0.25">
      <c r="A36">
        <v>35</v>
      </c>
      <c r="B36" t="s">
        <v>120</v>
      </c>
      <c r="C36" t="s">
        <v>121</v>
      </c>
      <c r="D36" t="s">
        <v>121</v>
      </c>
      <c r="E36" t="s">
        <v>121</v>
      </c>
    </row>
    <row r="37" spans="1:5" x14ac:dyDescent="0.25">
      <c r="A37">
        <v>36</v>
      </c>
      <c r="B37" t="s">
        <v>122</v>
      </c>
      <c r="C37" t="s">
        <v>124</v>
      </c>
      <c r="D37" t="s">
        <v>124</v>
      </c>
      <c r="E37" t="s">
        <v>231</v>
      </c>
    </row>
    <row r="38" spans="1:5" x14ac:dyDescent="0.25">
      <c r="A38">
        <v>37</v>
      </c>
      <c r="B38" t="s">
        <v>125</v>
      </c>
      <c r="C38" t="s">
        <v>127</v>
      </c>
      <c r="D38" t="s">
        <v>127</v>
      </c>
      <c r="E38" t="s">
        <v>127</v>
      </c>
    </row>
    <row r="39" spans="1:5" x14ac:dyDescent="0.25">
      <c r="A39">
        <v>38</v>
      </c>
      <c r="B39" t="s">
        <v>128</v>
      </c>
      <c r="C39" t="s">
        <v>130</v>
      </c>
      <c r="D39" t="s">
        <v>211</v>
      </c>
      <c r="E39" t="s">
        <v>211</v>
      </c>
    </row>
    <row r="40" spans="1:5" x14ac:dyDescent="0.25">
      <c r="A40">
        <v>39</v>
      </c>
      <c r="B40" t="s">
        <v>131</v>
      </c>
      <c r="C40" t="s">
        <v>133</v>
      </c>
      <c r="D40" t="s">
        <v>212</v>
      </c>
      <c r="E40" t="s">
        <v>212</v>
      </c>
    </row>
    <row r="41" spans="1:5" x14ac:dyDescent="0.25">
      <c r="A41">
        <v>40</v>
      </c>
      <c r="B41" t="s">
        <v>134</v>
      </c>
      <c r="C41" t="s">
        <v>136</v>
      </c>
      <c r="D41" t="s">
        <v>213</v>
      </c>
      <c r="E41" t="s">
        <v>213</v>
      </c>
    </row>
    <row r="42" spans="1:5" x14ac:dyDescent="0.25">
      <c r="A42">
        <v>41</v>
      </c>
      <c r="B42" t="s">
        <v>137</v>
      </c>
      <c r="C42" t="s">
        <v>139</v>
      </c>
      <c r="D42" t="s">
        <v>139</v>
      </c>
      <c r="E42" t="s">
        <v>139</v>
      </c>
    </row>
    <row r="43" spans="1:5" x14ac:dyDescent="0.25">
      <c r="A43">
        <v>42</v>
      </c>
      <c r="B43" t="s">
        <v>140</v>
      </c>
      <c r="C43" t="s">
        <v>141</v>
      </c>
      <c r="D43" t="s">
        <v>141</v>
      </c>
      <c r="E43" t="s">
        <v>141</v>
      </c>
    </row>
    <row r="44" spans="1:5" x14ac:dyDescent="0.25">
      <c r="A44">
        <v>43</v>
      </c>
      <c r="B44" t="s">
        <v>142</v>
      </c>
      <c r="C44" t="s">
        <v>144</v>
      </c>
      <c r="D44" t="s">
        <v>144</v>
      </c>
      <c r="E44" t="s">
        <v>144</v>
      </c>
    </row>
    <row r="45" spans="1:5" x14ac:dyDescent="0.25">
      <c r="A45">
        <v>44</v>
      </c>
      <c r="B45" t="s">
        <v>145</v>
      </c>
      <c r="C45" t="s">
        <v>147</v>
      </c>
      <c r="D45" t="s">
        <v>147</v>
      </c>
      <c r="E45" t="s">
        <v>147</v>
      </c>
    </row>
    <row r="46" spans="1:5" x14ac:dyDescent="0.25">
      <c r="A46">
        <v>45</v>
      </c>
      <c r="B46" t="s">
        <v>148</v>
      </c>
      <c r="C46" t="s">
        <v>150</v>
      </c>
      <c r="D46" t="s">
        <v>150</v>
      </c>
      <c r="E46" t="s">
        <v>150</v>
      </c>
    </row>
    <row r="47" spans="1:5" x14ac:dyDescent="0.25">
      <c r="A47">
        <v>46</v>
      </c>
      <c r="B47" t="s">
        <v>151</v>
      </c>
      <c r="C47" t="s">
        <v>153</v>
      </c>
      <c r="D47" t="s">
        <v>153</v>
      </c>
      <c r="E47" t="s">
        <v>232</v>
      </c>
    </row>
    <row r="48" spans="1:5" x14ac:dyDescent="0.25">
      <c r="A48">
        <v>47</v>
      </c>
      <c r="B48" t="s">
        <v>154</v>
      </c>
      <c r="C48" t="s">
        <v>156</v>
      </c>
      <c r="D48" t="s">
        <v>156</v>
      </c>
      <c r="E48" t="s">
        <v>156</v>
      </c>
    </row>
    <row r="49" spans="1:5" x14ac:dyDescent="0.25">
      <c r="A49">
        <v>48</v>
      </c>
      <c r="B49" t="s">
        <v>157</v>
      </c>
      <c r="C49" t="s">
        <v>159</v>
      </c>
      <c r="D49" t="s">
        <v>159</v>
      </c>
      <c r="E49" t="s">
        <v>159</v>
      </c>
    </row>
    <row r="50" spans="1:5" x14ac:dyDescent="0.25">
      <c r="A50">
        <v>49</v>
      </c>
      <c r="B50" t="s">
        <v>160</v>
      </c>
      <c r="C50" t="s">
        <v>162</v>
      </c>
      <c r="D50" t="s">
        <v>162</v>
      </c>
      <c r="E50" t="s">
        <v>162</v>
      </c>
    </row>
    <row r="51" spans="1:5" x14ac:dyDescent="0.25">
      <c r="A51">
        <v>50</v>
      </c>
      <c r="B51" t="s">
        <v>163</v>
      </c>
      <c r="C51" t="s">
        <v>164</v>
      </c>
      <c r="D51" t="s">
        <v>164</v>
      </c>
      <c r="E51" t="s">
        <v>164</v>
      </c>
    </row>
    <row r="52" spans="1:5" x14ac:dyDescent="0.25">
      <c r="A52">
        <v>51</v>
      </c>
      <c r="B52" t="s">
        <v>165</v>
      </c>
      <c r="C52" t="s">
        <v>169</v>
      </c>
      <c r="D52" t="s">
        <v>214</v>
      </c>
      <c r="E52" t="s">
        <v>214</v>
      </c>
    </row>
    <row r="53" spans="1:5" x14ac:dyDescent="0.25">
      <c r="A53">
        <v>52</v>
      </c>
      <c r="B53" t="s">
        <v>171</v>
      </c>
      <c r="C53" t="s">
        <v>174</v>
      </c>
      <c r="D53" t="s">
        <v>174</v>
      </c>
      <c r="E53" t="s">
        <v>174</v>
      </c>
    </row>
    <row r="54" spans="1:5" x14ac:dyDescent="0.25">
      <c r="A54">
        <v>53</v>
      </c>
      <c r="B54" t="s">
        <v>175</v>
      </c>
      <c r="C54" t="s">
        <v>178</v>
      </c>
      <c r="D54" t="s">
        <v>178</v>
      </c>
      <c r="E54" t="s">
        <v>178</v>
      </c>
    </row>
    <row r="55" spans="1:5" x14ac:dyDescent="0.25">
      <c r="A55">
        <v>54</v>
      </c>
      <c r="B55" t="s">
        <v>179</v>
      </c>
      <c r="C55" t="s">
        <v>181</v>
      </c>
      <c r="D55" t="s">
        <v>181</v>
      </c>
      <c r="E55" t="s">
        <v>181</v>
      </c>
    </row>
    <row r="56" spans="1:5" x14ac:dyDescent="0.25">
      <c r="A56">
        <v>55</v>
      </c>
      <c r="B56" t="s">
        <v>182</v>
      </c>
      <c r="C56" t="s">
        <v>184</v>
      </c>
      <c r="D56" t="s">
        <v>215</v>
      </c>
      <c r="E56" t="s">
        <v>215</v>
      </c>
    </row>
    <row r="57" spans="1:5" x14ac:dyDescent="0.25">
      <c r="A57">
        <v>56</v>
      </c>
      <c r="B57" t="s">
        <v>185</v>
      </c>
      <c r="C57" t="s">
        <v>188</v>
      </c>
      <c r="D57" t="s">
        <v>216</v>
      </c>
      <c r="E57" t="s">
        <v>216</v>
      </c>
    </row>
    <row r="58" spans="1:5" x14ac:dyDescent="0.25">
      <c r="A58">
        <v>57</v>
      </c>
      <c r="B58" t="s">
        <v>190</v>
      </c>
      <c r="C58" t="s">
        <v>191</v>
      </c>
      <c r="D58" t="s">
        <v>217</v>
      </c>
      <c r="E58" t="s">
        <v>191</v>
      </c>
    </row>
    <row r="59" spans="1:5" x14ac:dyDescent="0.25">
      <c r="A59">
        <v>58</v>
      </c>
      <c r="B59" t="s">
        <v>193</v>
      </c>
      <c r="C59" t="s">
        <v>194</v>
      </c>
      <c r="D59" t="s">
        <v>194</v>
      </c>
      <c r="E59" t="s">
        <v>194</v>
      </c>
    </row>
    <row r="60" spans="1:5" x14ac:dyDescent="0.25">
      <c r="A60">
        <v>59</v>
      </c>
      <c r="B60" t="s">
        <v>195</v>
      </c>
      <c r="C60" t="s">
        <v>198</v>
      </c>
      <c r="D60" t="s">
        <v>198</v>
      </c>
      <c r="E60" t="s">
        <v>198</v>
      </c>
    </row>
    <row r="61" spans="1:5" x14ac:dyDescent="0.25">
      <c r="A61">
        <v>60</v>
      </c>
      <c r="B61" t="s">
        <v>199</v>
      </c>
      <c r="C61" t="s">
        <v>200</v>
      </c>
      <c r="D61" t="s">
        <v>200</v>
      </c>
      <c r="E61" t="s">
        <v>200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C803A-64BD-445C-AF6B-6021636342B0}">
  <dimension ref="A1:H3"/>
  <sheetViews>
    <sheetView workbookViewId="0">
      <selection activeCell="H3" sqref="A1:H3"/>
    </sheetView>
  </sheetViews>
  <sheetFormatPr defaultRowHeight="15" x14ac:dyDescent="0.25"/>
  <cols>
    <col min="3" max="3" width="49.42578125" bestFit="1" customWidth="1"/>
    <col min="4" max="4" width="18.28515625" bestFit="1" customWidth="1"/>
    <col min="5" max="5" width="19.5703125" bestFit="1" customWidth="1"/>
    <col min="6" max="6" width="18.28515625" bestFit="1" customWidth="1"/>
    <col min="7" max="7" width="19.5703125" bestFit="1" customWidth="1"/>
    <col min="8" max="8" width="18.28515625" bestFit="1" customWidth="1"/>
  </cols>
  <sheetData>
    <row r="1" spans="1:8" x14ac:dyDescent="0.25">
      <c r="A1" t="s">
        <v>270</v>
      </c>
      <c r="B1" t="s">
        <v>241</v>
      </c>
      <c r="C1" t="s">
        <v>271</v>
      </c>
      <c r="D1" t="s">
        <v>272</v>
      </c>
      <c r="E1" t="s">
        <v>274</v>
      </c>
      <c r="F1" t="s">
        <v>273</v>
      </c>
      <c r="G1" t="s">
        <v>275</v>
      </c>
      <c r="H1" t="s">
        <v>276</v>
      </c>
    </row>
    <row r="2" spans="1:8" x14ac:dyDescent="0.25">
      <c r="A2">
        <v>38</v>
      </c>
      <c r="B2">
        <v>75</v>
      </c>
      <c r="C2">
        <v>966.47409462928704</v>
      </c>
      <c r="D2">
        <v>73</v>
      </c>
      <c r="E2">
        <v>7.0090071280001203</v>
      </c>
      <c r="F2">
        <v>59</v>
      </c>
      <c r="G2">
        <v>30.645577221999702</v>
      </c>
      <c r="H2">
        <v>73</v>
      </c>
    </row>
    <row r="3" spans="1:8" x14ac:dyDescent="0.25">
      <c r="A3">
        <v>5</v>
      </c>
      <c r="B3">
        <v>25</v>
      </c>
      <c r="C3">
        <v>10.0670824050903</v>
      </c>
      <c r="D3">
        <v>22</v>
      </c>
      <c r="E3">
        <v>2.0007292000173E-2</v>
      </c>
      <c r="F3">
        <v>22</v>
      </c>
      <c r="G3">
        <v>0.12626474999979101</v>
      </c>
      <c r="H3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9AA13-E93D-4FB3-98B1-0A08B32216AC}">
  <dimension ref="A1:F61"/>
  <sheetViews>
    <sheetView topLeftCell="A28" zoomScaleNormal="100" workbookViewId="0">
      <selection activeCell="F52" sqref="F52:F61"/>
    </sheetView>
  </sheetViews>
  <sheetFormatPr defaultRowHeight="15" x14ac:dyDescent="0.25"/>
  <cols>
    <col min="3" max="3" width="18" bestFit="1" customWidth="1"/>
    <col min="4" max="6" width="16.85546875" bestFit="1" customWidth="1"/>
  </cols>
  <sheetData>
    <row r="1" spans="1:6" x14ac:dyDescent="0.25">
      <c r="A1" t="s">
        <v>0</v>
      </c>
      <c r="B1" t="s">
        <v>13</v>
      </c>
      <c r="C1" t="s">
        <v>10</v>
      </c>
      <c r="D1" t="s">
        <v>201</v>
      </c>
      <c r="E1" t="s">
        <v>219</v>
      </c>
      <c r="F1" t="s">
        <v>234</v>
      </c>
    </row>
    <row r="2" spans="1:6" x14ac:dyDescent="0.25">
      <c r="A2">
        <v>52</v>
      </c>
      <c r="B2">
        <v>20</v>
      </c>
      <c r="C2">
        <v>3.7240982055664002E-3</v>
      </c>
      <c r="D2">
        <v>5.78074999998534E-2</v>
      </c>
      <c r="E2">
        <v>9.0659749999758704E-2</v>
      </c>
      <c r="F2">
        <v>0.16066162499919301</v>
      </c>
    </row>
    <row r="3" spans="1:6" x14ac:dyDescent="0.25">
      <c r="A3">
        <v>53</v>
      </c>
      <c r="B3">
        <v>20</v>
      </c>
      <c r="C3">
        <v>3.6454200744628902E-3</v>
      </c>
      <c r="D3">
        <v>3.9888125000288703E-2</v>
      </c>
      <c r="E3">
        <v>5.8049999999639099E-2</v>
      </c>
      <c r="F3">
        <v>8.8539541999125504E-2</v>
      </c>
    </row>
    <row r="4" spans="1:6" x14ac:dyDescent="0.25">
      <c r="A4">
        <v>60</v>
      </c>
      <c r="B4">
        <v>20</v>
      </c>
      <c r="C4">
        <v>3.8189888000488199E-3</v>
      </c>
      <c r="D4">
        <v>2.8228874999967901E-2</v>
      </c>
      <c r="E4">
        <v>5.3727833000266401E-2</v>
      </c>
      <c r="F4">
        <v>9.3913083999723299E-2</v>
      </c>
    </row>
    <row r="5" spans="1:6" x14ac:dyDescent="0.25">
      <c r="A5">
        <v>54</v>
      </c>
      <c r="B5">
        <v>20</v>
      </c>
      <c r="C5">
        <v>3.5321712493896402E-3</v>
      </c>
      <c r="D5">
        <v>2.8433916999802002E-2</v>
      </c>
      <c r="E5">
        <v>5.4628792000585201E-2</v>
      </c>
      <c r="F5">
        <v>8.8027249999868204E-2</v>
      </c>
    </row>
    <row r="6" spans="1:6" x14ac:dyDescent="0.25">
      <c r="A6">
        <v>58</v>
      </c>
      <c r="B6">
        <v>20</v>
      </c>
      <c r="C6">
        <v>3.5631656646728498E-3</v>
      </c>
      <c r="D6">
        <v>4.4324792000224898E-2</v>
      </c>
      <c r="E6">
        <v>6.7796667000038696E-2</v>
      </c>
      <c r="F6">
        <v>0.15493399999832</v>
      </c>
    </row>
    <row r="7" spans="1:6" x14ac:dyDescent="0.25">
      <c r="A7">
        <v>57</v>
      </c>
      <c r="B7">
        <v>20</v>
      </c>
      <c r="C7">
        <v>3.5440921783447201E-3</v>
      </c>
      <c r="D7">
        <v>4.8121415999958103E-2</v>
      </c>
      <c r="E7">
        <v>5.9643624999807798E-2</v>
      </c>
      <c r="F7">
        <v>0.24887812500128301</v>
      </c>
    </row>
    <row r="8" spans="1:6" x14ac:dyDescent="0.25">
      <c r="A8">
        <v>56</v>
      </c>
      <c r="B8">
        <v>20</v>
      </c>
      <c r="C8">
        <v>3.4809112548828099E-3</v>
      </c>
      <c r="D8">
        <v>5.5611165999834997E-2</v>
      </c>
      <c r="E8">
        <v>7.3612582999885406E-2</v>
      </c>
      <c r="F8">
        <v>0.113710666999395</v>
      </c>
    </row>
    <row r="9" spans="1:6" x14ac:dyDescent="0.25">
      <c r="A9">
        <v>59</v>
      </c>
      <c r="B9">
        <v>20</v>
      </c>
      <c r="C9">
        <v>3.4942626953125E-3</v>
      </c>
      <c r="D9">
        <v>1.50465840001743E-2</v>
      </c>
      <c r="E9">
        <v>7.1703583000271395E-2</v>
      </c>
      <c r="F9">
        <v>0.18527125100081299</v>
      </c>
    </row>
    <row r="10" spans="1:6" x14ac:dyDescent="0.25">
      <c r="A10">
        <v>51</v>
      </c>
      <c r="B10">
        <v>20</v>
      </c>
      <c r="C10">
        <v>4.2831897735595703E-3</v>
      </c>
      <c r="D10">
        <v>4.4080166999719901E-2</v>
      </c>
      <c r="E10">
        <v>7.0189584000218005E-2</v>
      </c>
      <c r="F10">
        <v>0.102808667001227</v>
      </c>
    </row>
    <row r="11" spans="1:6" x14ac:dyDescent="0.25">
      <c r="A11" s="5">
        <v>55</v>
      </c>
      <c r="B11" s="5">
        <v>20</v>
      </c>
      <c r="C11" s="5">
        <v>3.5791397094726502E-3</v>
      </c>
      <c r="D11" s="5">
        <v>6.6444000000046799E-2</v>
      </c>
      <c r="E11" s="5">
        <v>4.1546958999788303E-2</v>
      </c>
      <c r="F11" s="5">
        <v>9.9966666999534895E-2</v>
      </c>
    </row>
    <row r="12" spans="1:6" x14ac:dyDescent="0.25">
      <c r="A12">
        <v>10</v>
      </c>
      <c r="B12">
        <v>25</v>
      </c>
      <c r="C12">
        <v>4.1575431823730399E-3</v>
      </c>
      <c r="D12">
        <v>6.4846166999814103E-2</v>
      </c>
      <c r="E12">
        <v>0.123557750000145</v>
      </c>
      <c r="F12">
        <v>0.19009912499950499</v>
      </c>
    </row>
    <row r="13" spans="1:6" x14ac:dyDescent="0.25">
      <c r="A13">
        <v>2</v>
      </c>
      <c r="B13">
        <v>25</v>
      </c>
      <c r="C13">
        <v>4.5094490051269497E-3</v>
      </c>
      <c r="D13">
        <v>5.3255167000315802E-2</v>
      </c>
      <c r="E13">
        <v>0.174720875000275</v>
      </c>
      <c r="F13">
        <v>0.24558804200023501</v>
      </c>
    </row>
    <row r="14" spans="1:6" x14ac:dyDescent="0.25">
      <c r="A14">
        <v>5</v>
      </c>
      <c r="B14">
        <v>25</v>
      </c>
      <c r="C14">
        <v>4.1453838348388602E-3</v>
      </c>
      <c r="D14">
        <v>2.0007292000173E-2</v>
      </c>
      <c r="E14">
        <v>0.12626474999979101</v>
      </c>
      <c r="F14">
        <v>0.18059608299972699</v>
      </c>
    </row>
    <row r="15" spans="1:6" x14ac:dyDescent="0.25">
      <c r="A15">
        <v>3</v>
      </c>
      <c r="B15">
        <v>25</v>
      </c>
      <c r="C15">
        <v>4.02426719665527E-3</v>
      </c>
      <c r="D15">
        <v>2.7863165999860901E-2</v>
      </c>
      <c r="E15">
        <v>0.103825333000713</v>
      </c>
      <c r="F15">
        <v>0.26194841599954</v>
      </c>
    </row>
    <row r="16" spans="1:6" x14ac:dyDescent="0.25">
      <c r="A16">
        <v>6</v>
      </c>
      <c r="B16">
        <v>25</v>
      </c>
      <c r="C16">
        <v>4.6305656433105399E-3</v>
      </c>
      <c r="D16">
        <v>4.92233330000999E-2</v>
      </c>
      <c r="E16">
        <v>0.10428475000026</v>
      </c>
      <c r="F16">
        <v>0.194003292000161</v>
      </c>
    </row>
    <row r="17" spans="1:6" x14ac:dyDescent="0.25">
      <c r="A17">
        <v>8</v>
      </c>
      <c r="B17">
        <v>25</v>
      </c>
      <c r="C17">
        <v>4.3210983276367101E-3</v>
      </c>
      <c r="D17">
        <v>5.1922249999734001E-2</v>
      </c>
      <c r="E17">
        <v>0.10405258399987299</v>
      </c>
      <c r="F17">
        <v>0.30845104099989801</v>
      </c>
    </row>
    <row r="18" spans="1:6" x14ac:dyDescent="0.25">
      <c r="A18">
        <v>7</v>
      </c>
      <c r="B18">
        <v>25</v>
      </c>
      <c r="C18">
        <v>4.2986869812011701E-3</v>
      </c>
      <c r="D18">
        <v>5.5771708000065701E-2</v>
      </c>
      <c r="E18">
        <v>0.11870591700062499</v>
      </c>
      <c r="F18">
        <v>0.29773333400044</v>
      </c>
    </row>
    <row r="19" spans="1:6" x14ac:dyDescent="0.25">
      <c r="A19">
        <v>9</v>
      </c>
      <c r="B19">
        <v>25</v>
      </c>
      <c r="C19">
        <v>4.4243335723876901E-3</v>
      </c>
      <c r="D19">
        <v>5.66445829999793E-2</v>
      </c>
      <c r="E19">
        <v>9.3496290999610196E-2</v>
      </c>
      <c r="F19">
        <v>0.16896749999978</v>
      </c>
    </row>
    <row r="20" spans="1:6" x14ac:dyDescent="0.25">
      <c r="A20">
        <v>1</v>
      </c>
      <c r="B20">
        <v>25</v>
      </c>
      <c r="C20">
        <v>1.48313045501708E-2</v>
      </c>
      <c r="D20">
        <v>6.3491874999726805E-2</v>
      </c>
      <c r="E20">
        <v>0.14683254099963899</v>
      </c>
      <c r="F20">
        <v>0.29684416700001698</v>
      </c>
    </row>
    <row r="21" spans="1:6" x14ac:dyDescent="0.25">
      <c r="A21">
        <v>4</v>
      </c>
      <c r="B21">
        <v>25</v>
      </c>
      <c r="C21">
        <v>4.1053295135498004E-3</v>
      </c>
      <c r="D21">
        <v>5.1364457999625301E-2</v>
      </c>
      <c r="E21">
        <v>5.12649590000364E-2</v>
      </c>
      <c r="F21">
        <v>0.151434417000018</v>
      </c>
    </row>
    <row r="22" spans="1:6" x14ac:dyDescent="0.25">
      <c r="A22">
        <v>11</v>
      </c>
      <c r="B22">
        <v>40</v>
      </c>
      <c r="C22">
        <v>5.05590438842773E-3</v>
      </c>
      <c r="D22">
        <v>0.168602750000445</v>
      </c>
      <c r="E22">
        <v>0.82291654199980202</v>
      </c>
      <c r="F22">
        <v>2.42598616599934</v>
      </c>
    </row>
    <row r="23" spans="1:6" x14ac:dyDescent="0.25">
      <c r="A23">
        <v>14</v>
      </c>
      <c r="B23">
        <v>40</v>
      </c>
      <c r="C23">
        <v>5.0327777862548802E-3</v>
      </c>
      <c r="D23">
        <v>7.4470166000082799E-2</v>
      </c>
      <c r="E23">
        <v>0.88722950099963704</v>
      </c>
      <c r="F23">
        <v>4.9841860440001202</v>
      </c>
    </row>
    <row r="24" spans="1:6" x14ac:dyDescent="0.25">
      <c r="A24">
        <v>15</v>
      </c>
      <c r="B24">
        <v>40</v>
      </c>
      <c r="C24">
        <v>4.9045085906982396E-3</v>
      </c>
      <c r="D24">
        <v>8.8303416000144297E-2</v>
      </c>
      <c r="E24">
        <v>0.81283458399957398</v>
      </c>
      <c r="F24">
        <v>1.8357979590000399</v>
      </c>
    </row>
    <row r="25" spans="1:6" x14ac:dyDescent="0.25">
      <c r="A25">
        <v>19</v>
      </c>
      <c r="B25">
        <v>40</v>
      </c>
      <c r="C25">
        <v>4.7674179077148403E-3</v>
      </c>
      <c r="D25">
        <v>9.3740249999882494E-2</v>
      </c>
      <c r="E25">
        <v>0.79964345899952605</v>
      </c>
      <c r="F25">
        <v>3.6631602939996801</v>
      </c>
    </row>
    <row r="26" spans="1:6" x14ac:dyDescent="0.25">
      <c r="A26">
        <v>12</v>
      </c>
      <c r="B26">
        <v>40</v>
      </c>
      <c r="C26">
        <v>4.7380924224853498E-3</v>
      </c>
      <c r="D26">
        <v>0.103318750000198</v>
      </c>
      <c r="E26">
        <v>1.5188525009998499</v>
      </c>
      <c r="F26">
        <v>4.3989879189994099</v>
      </c>
    </row>
    <row r="27" spans="1:6" x14ac:dyDescent="0.25">
      <c r="A27">
        <v>18</v>
      </c>
      <c r="B27">
        <v>40</v>
      </c>
      <c r="C27">
        <v>5.3415298461914002E-3</v>
      </c>
      <c r="D27">
        <v>0.11625504199992</v>
      </c>
      <c r="E27">
        <v>0.87141316699944504</v>
      </c>
      <c r="F27">
        <v>3.1248001260000802</v>
      </c>
    </row>
    <row r="28" spans="1:6" x14ac:dyDescent="0.25">
      <c r="A28">
        <v>13</v>
      </c>
      <c r="B28">
        <v>40</v>
      </c>
      <c r="C28">
        <v>4.8034191131591797E-3</v>
      </c>
      <c r="D28">
        <v>0.13974787500001101</v>
      </c>
      <c r="E28">
        <v>0.97011229200052096</v>
      </c>
      <c r="F28">
        <v>8.9091196710005498</v>
      </c>
    </row>
    <row r="29" spans="1:6" x14ac:dyDescent="0.25">
      <c r="A29">
        <v>20</v>
      </c>
      <c r="B29">
        <v>40</v>
      </c>
      <c r="C29">
        <v>4.8246383666992101E-3</v>
      </c>
      <c r="D29">
        <v>0.202652332999605</v>
      </c>
      <c r="E29">
        <v>1.67325000100026</v>
      </c>
      <c r="F29">
        <v>8.0786281290002009</v>
      </c>
    </row>
    <row r="30" spans="1:6" x14ac:dyDescent="0.25">
      <c r="A30">
        <v>17</v>
      </c>
      <c r="B30">
        <v>40</v>
      </c>
      <c r="C30">
        <v>4.7316551208495998E-3</v>
      </c>
      <c r="D30">
        <v>0.116587292000076</v>
      </c>
      <c r="E30">
        <v>1.0260740840003499</v>
      </c>
      <c r="F30">
        <v>2.1229899179998002</v>
      </c>
    </row>
    <row r="31" spans="1:6" x14ac:dyDescent="0.25">
      <c r="A31">
        <v>16</v>
      </c>
      <c r="B31">
        <v>40</v>
      </c>
      <c r="C31">
        <v>4.8835277557373004E-3</v>
      </c>
      <c r="D31">
        <v>0.20691229200019701</v>
      </c>
      <c r="E31">
        <v>1.18243399999937</v>
      </c>
      <c r="F31">
        <v>3.3875301259995401</v>
      </c>
    </row>
    <row r="32" spans="1:6" x14ac:dyDescent="0.25">
      <c r="A32">
        <v>24</v>
      </c>
      <c r="B32">
        <v>50</v>
      </c>
      <c r="C32">
        <v>6.07061386108398E-3</v>
      </c>
      <c r="D32">
        <v>0.38118024999994299</v>
      </c>
      <c r="E32">
        <v>2.7484046260005899</v>
      </c>
      <c r="F32">
        <v>18.026117092000199</v>
      </c>
    </row>
    <row r="33" spans="1:6" x14ac:dyDescent="0.25">
      <c r="A33">
        <v>26</v>
      </c>
      <c r="B33">
        <v>50</v>
      </c>
      <c r="C33">
        <v>5.63573837280273E-3</v>
      </c>
      <c r="D33">
        <v>0.28343674999996399</v>
      </c>
      <c r="E33">
        <v>4.3689845439994297</v>
      </c>
      <c r="F33">
        <v>15.811426299999701</v>
      </c>
    </row>
    <row r="34" spans="1:6" x14ac:dyDescent="0.25">
      <c r="A34">
        <v>22</v>
      </c>
      <c r="B34">
        <v>50</v>
      </c>
      <c r="C34">
        <v>5.5255889892578099E-3</v>
      </c>
      <c r="D34">
        <v>0.40008525000030198</v>
      </c>
      <c r="E34">
        <v>4.7785656269998</v>
      </c>
      <c r="F34">
        <v>13.6218335060002</v>
      </c>
    </row>
    <row r="35" spans="1:6" x14ac:dyDescent="0.25">
      <c r="A35">
        <v>27</v>
      </c>
      <c r="B35">
        <v>50</v>
      </c>
      <c r="C35">
        <v>5.7203769683837804E-3</v>
      </c>
      <c r="D35">
        <v>0.15869841599987899</v>
      </c>
      <c r="E35">
        <v>1.92413308400045</v>
      </c>
      <c r="F35">
        <v>4.00780341800054</v>
      </c>
    </row>
    <row r="36" spans="1:6" x14ac:dyDescent="0.25">
      <c r="A36">
        <v>21</v>
      </c>
      <c r="B36">
        <v>50</v>
      </c>
      <c r="C36">
        <v>5.3641796112060504E-3</v>
      </c>
      <c r="D36">
        <v>0.165316750000329</v>
      </c>
      <c r="E36">
        <v>2.4920137510007399</v>
      </c>
      <c r="F36">
        <v>18.430154466999699</v>
      </c>
    </row>
    <row r="37" spans="1:6" x14ac:dyDescent="0.25">
      <c r="A37">
        <v>30</v>
      </c>
      <c r="B37">
        <v>50</v>
      </c>
      <c r="C37">
        <v>6.0241222381591797E-3</v>
      </c>
      <c r="D37">
        <v>0.20384345899992601</v>
      </c>
      <c r="E37">
        <v>2.0492544589997101</v>
      </c>
      <c r="F37">
        <v>6.93431383700044</v>
      </c>
    </row>
    <row r="38" spans="1:6" x14ac:dyDescent="0.25">
      <c r="A38">
        <v>29</v>
      </c>
      <c r="B38">
        <v>50</v>
      </c>
      <c r="C38">
        <v>5.5742263793945304E-3</v>
      </c>
      <c r="D38">
        <v>0.30268154199984498</v>
      </c>
      <c r="E38">
        <v>3.97414858499996</v>
      </c>
      <c r="F38">
        <v>14.789426590000399</v>
      </c>
    </row>
    <row r="39" spans="1:6" x14ac:dyDescent="0.25">
      <c r="A39">
        <v>25</v>
      </c>
      <c r="B39">
        <v>50</v>
      </c>
      <c r="C39">
        <v>5.7797431945800703E-3</v>
      </c>
      <c r="D39">
        <v>0.193798458999935</v>
      </c>
      <c r="E39">
        <v>2.47690783400048</v>
      </c>
      <c r="F39">
        <v>13.3802078809994</v>
      </c>
    </row>
    <row r="40" spans="1:6" x14ac:dyDescent="0.25">
      <c r="A40">
        <v>28</v>
      </c>
      <c r="B40">
        <v>50</v>
      </c>
      <c r="C40">
        <v>5.7938098907470703E-3</v>
      </c>
      <c r="D40">
        <v>0.25469179199990299</v>
      </c>
      <c r="E40">
        <v>2.8002696270004801</v>
      </c>
      <c r="F40">
        <v>7.0354148360002</v>
      </c>
    </row>
    <row r="41" spans="1:6" x14ac:dyDescent="0.25">
      <c r="A41">
        <v>23</v>
      </c>
      <c r="B41">
        <v>50</v>
      </c>
      <c r="C41">
        <v>5.6612491607665998E-3</v>
      </c>
      <c r="D41">
        <v>0.33562787599976202</v>
      </c>
      <c r="E41">
        <v>3.28088875100002</v>
      </c>
      <c r="F41">
        <v>20.098683342000101</v>
      </c>
    </row>
    <row r="42" spans="1:6" x14ac:dyDescent="0.25">
      <c r="A42">
        <v>37</v>
      </c>
      <c r="B42">
        <v>75</v>
      </c>
      <c r="C42">
        <v>6.9537162780761701E-3</v>
      </c>
      <c r="D42">
        <v>1.9745873339997999</v>
      </c>
      <c r="E42">
        <v>25.6964639699999</v>
      </c>
      <c r="F42">
        <v>159.59676973800001</v>
      </c>
    </row>
    <row r="43" spans="1:6" x14ac:dyDescent="0.25">
      <c r="A43">
        <v>33</v>
      </c>
      <c r="B43">
        <v>75</v>
      </c>
      <c r="C43">
        <v>7.4980258941650304E-3</v>
      </c>
      <c r="D43">
        <v>0.82913062499983403</v>
      </c>
      <c r="E43">
        <v>25.0604030530003</v>
      </c>
      <c r="F43">
        <v>177.60294691299899</v>
      </c>
    </row>
    <row r="44" spans="1:6" x14ac:dyDescent="0.25">
      <c r="A44">
        <v>34</v>
      </c>
      <c r="B44">
        <v>75</v>
      </c>
      <c r="C44">
        <v>7.43985176086425E-3</v>
      </c>
      <c r="D44">
        <v>0.43395962500016999</v>
      </c>
      <c r="E44">
        <v>13.9307466729997</v>
      </c>
      <c r="F44">
        <v>85.405975870999995</v>
      </c>
    </row>
    <row r="45" spans="1:6" x14ac:dyDescent="0.25">
      <c r="A45">
        <v>32</v>
      </c>
      <c r="B45">
        <v>75</v>
      </c>
      <c r="C45">
        <v>7.1249008178710903E-3</v>
      </c>
      <c r="D45">
        <v>0.52399945800016201</v>
      </c>
      <c r="E45">
        <v>18.090029300000399</v>
      </c>
      <c r="F45">
        <v>96.128000085000096</v>
      </c>
    </row>
    <row r="46" spans="1:6" x14ac:dyDescent="0.25">
      <c r="A46">
        <v>35</v>
      </c>
      <c r="B46">
        <v>75</v>
      </c>
      <c r="C46">
        <v>7.4191093444824201E-3</v>
      </c>
      <c r="D46">
        <v>0.73774899999989396</v>
      </c>
      <c r="E46">
        <v>18.773501841999799</v>
      </c>
      <c r="F46">
        <v>70.043700572999995</v>
      </c>
    </row>
    <row r="47" spans="1:6" x14ac:dyDescent="0.25">
      <c r="A47">
        <v>31</v>
      </c>
      <c r="B47">
        <v>75</v>
      </c>
      <c r="C47">
        <v>7.2510242462158203E-3</v>
      </c>
      <c r="D47">
        <v>0.85136941800010302</v>
      </c>
      <c r="E47">
        <v>13.0287071299999</v>
      </c>
      <c r="F47">
        <v>56.528150317999398</v>
      </c>
    </row>
    <row r="48" spans="1:6" x14ac:dyDescent="0.25">
      <c r="A48">
        <v>36</v>
      </c>
      <c r="B48">
        <v>75</v>
      </c>
      <c r="C48">
        <v>7.6315402984619097E-3</v>
      </c>
      <c r="D48">
        <v>0.48733279199996099</v>
      </c>
      <c r="E48">
        <v>3.9797428349993398</v>
      </c>
      <c r="F48">
        <v>21.245699134999899</v>
      </c>
    </row>
    <row r="49" spans="1:6" x14ac:dyDescent="0.25">
      <c r="A49">
        <v>40</v>
      </c>
      <c r="B49">
        <v>75</v>
      </c>
      <c r="C49">
        <v>7.6365470886230399E-3</v>
      </c>
      <c r="D49">
        <v>1.2455521669999099</v>
      </c>
      <c r="E49">
        <v>6.0642318359996299</v>
      </c>
      <c r="F49">
        <v>40.264259976998801</v>
      </c>
    </row>
    <row r="50" spans="1:6" x14ac:dyDescent="0.25">
      <c r="A50">
        <v>39</v>
      </c>
      <c r="B50">
        <v>75</v>
      </c>
      <c r="C50">
        <v>7.1530342102050703E-3</v>
      </c>
      <c r="D50">
        <v>0.74755229199990902</v>
      </c>
      <c r="E50">
        <v>6.8716945449996203</v>
      </c>
      <c r="F50">
        <v>37.626907600000699</v>
      </c>
    </row>
    <row r="51" spans="1:6" x14ac:dyDescent="0.25">
      <c r="A51">
        <v>38</v>
      </c>
      <c r="B51">
        <v>75</v>
      </c>
      <c r="C51">
        <v>6.7458152770995998E-3</v>
      </c>
      <c r="D51">
        <v>7.0090071280001203</v>
      </c>
      <c r="E51">
        <v>30.645577221999702</v>
      </c>
      <c r="F51">
        <v>236.93741298399999</v>
      </c>
    </row>
    <row r="52" spans="1:6" x14ac:dyDescent="0.25">
      <c r="A52">
        <v>48</v>
      </c>
      <c r="B52">
        <v>100</v>
      </c>
      <c r="C52">
        <v>9.0699195861816406E-3</v>
      </c>
      <c r="D52">
        <v>1.23514304200034</v>
      </c>
      <c r="E52">
        <v>3.32769850099975</v>
      </c>
      <c r="F52">
        <v>87.265396372999007</v>
      </c>
    </row>
    <row r="53" spans="1:6" x14ac:dyDescent="0.25">
      <c r="A53">
        <v>47</v>
      </c>
      <c r="B53">
        <v>100</v>
      </c>
      <c r="C53">
        <v>9.4974040985107405E-3</v>
      </c>
      <c r="D53">
        <v>1.2422580009997499</v>
      </c>
      <c r="E53">
        <v>43.969725020000602</v>
      </c>
      <c r="F53">
        <v>156.993464821</v>
      </c>
    </row>
    <row r="54" spans="1:6" x14ac:dyDescent="0.25">
      <c r="A54">
        <v>41</v>
      </c>
      <c r="B54">
        <v>100</v>
      </c>
      <c r="C54">
        <v>9.1185569763183594E-3</v>
      </c>
      <c r="D54">
        <v>4.4783545440000099</v>
      </c>
      <c r="E54">
        <v>105.602236048999</v>
      </c>
      <c r="F54">
        <v>899.17824857400001</v>
      </c>
    </row>
    <row r="55" spans="1:6" x14ac:dyDescent="0.25">
      <c r="A55">
        <v>44</v>
      </c>
      <c r="B55">
        <v>100</v>
      </c>
      <c r="C55">
        <v>8.6023807525634696E-3</v>
      </c>
      <c r="D55">
        <v>1.67711304199974</v>
      </c>
      <c r="E55">
        <v>69.539149072999805</v>
      </c>
      <c r="F55">
        <v>681.20098185200004</v>
      </c>
    </row>
    <row r="56" spans="1:6" x14ac:dyDescent="0.25">
      <c r="A56">
        <v>43</v>
      </c>
      <c r="B56">
        <v>100</v>
      </c>
      <c r="C56">
        <v>8.9905261993408203E-3</v>
      </c>
      <c r="D56">
        <v>2.6676563349997102</v>
      </c>
      <c r="E56">
        <v>95.267819126000106</v>
      </c>
      <c r="F56">
        <v>331.37683652599998</v>
      </c>
    </row>
    <row r="57" spans="1:6" x14ac:dyDescent="0.25">
      <c r="A57">
        <v>49</v>
      </c>
      <c r="B57">
        <v>100</v>
      </c>
      <c r="C57">
        <v>8.8615417480468698E-3</v>
      </c>
      <c r="D57">
        <v>2.9854539190000602</v>
      </c>
      <c r="E57">
        <v>44.019741561999503</v>
      </c>
      <c r="F57">
        <v>549.05003112499901</v>
      </c>
    </row>
    <row r="58" spans="1:6" x14ac:dyDescent="0.25">
      <c r="A58">
        <v>50</v>
      </c>
      <c r="B58">
        <v>100</v>
      </c>
      <c r="C58">
        <v>8.8996887207031198E-3</v>
      </c>
      <c r="D58">
        <v>1.1968654590000301</v>
      </c>
      <c r="E58">
        <v>55.732546899999697</v>
      </c>
      <c r="F58">
        <v>367.492057958001</v>
      </c>
    </row>
    <row r="59" spans="1:6" x14ac:dyDescent="0.25">
      <c r="A59">
        <v>42</v>
      </c>
      <c r="B59">
        <v>100</v>
      </c>
      <c r="C59">
        <v>8.72802734375E-3</v>
      </c>
      <c r="D59">
        <v>1.51752133400032</v>
      </c>
      <c r="E59">
        <v>28.185838387999802</v>
      </c>
      <c r="F59">
        <v>203.371497341999</v>
      </c>
    </row>
    <row r="60" spans="1:6" x14ac:dyDescent="0.25">
      <c r="A60">
        <v>45</v>
      </c>
      <c r="B60">
        <v>100</v>
      </c>
      <c r="C60">
        <v>8.9101791381835903E-3</v>
      </c>
      <c r="D60">
        <v>2.6582356270000602</v>
      </c>
      <c r="E60">
        <v>77.706257493999999</v>
      </c>
      <c r="F60">
        <v>430.75752302799901</v>
      </c>
    </row>
    <row r="61" spans="1:6" x14ac:dyDescent="0.25">
      <c r="A61">
        <v>46</v>
      </c>
      <c r="B61">
        <v>100</v>
      </c>
      <c r="C61">
        <v>8.9771747589111293E-3</v>
      </c>
      <c r="D61">
        <v>1.88445083500027</v>
      </c>
      <c r="E61">
        <v>33.318394347999799</v>
      </c>
      <c r="F61">
        <v>142.233111815001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DB532-E6A4-45BD-AE21-4D7D5D9046BE}">
  <dimension ref="A1:F11"/>
  <sheetViews>
    <sheetView workbookViewId="0">
      <selection activeCell="K18" sqref="K18"/>
    </sheetView>
  </sheetViews>
  <sheetFormatPr defaultRowHeight="15" x14ac:dyDescent="0.25"/>
  <sheetData>
    <row r="1" spans="1:6" x14ac:dyDescent="0.25">
      <c r="A1" t="s">
        <v>277</v>
      </c>
      <c r="B1" t="s">
        <v>278</v>
      </c>
      <c r="C1" t="s">
        <v>279</v>
      </c>
      <c r="D1" t="s">
        <v>280</v>
      </c>
      <c r="E1" t="s">
        <v>281</v>
      </c>
      <c r="F1" t="s">
        <v>282</v>
      </c>
    </row>
    <row r="2" spans="1:6" x14ac:dyDescent="0.25">
      <c r="A2" s="7">
        <v>3.7240982055664002E-3</v>
      </c>
      <c r="B2" s="7">
        <v>4.1575431823730399E-3</v>
      </c>
      <c r="C2" s="7">
        <v>5.05590438842773E-3</v>
      </c>
      <c r="D2" s="7">
        <v>6.07061386108398E-3</v>
      </c>
      <c r="E2" s="7">
        <v>6.9537162780761701E-3</v>
      </c>
      <c r="F2" s="7">
        <v>9.0699195861816406E-3</v>
      </c>
    </row>
    <row r="3" spans="1:6" x14ac:dyDescent="0.25">
      <c r="A3" s="8">
        <v>3.6454200744628902E-3</v>
      </c>
      <c r="B3" s="8">
        <v>4.5094490051269497E-3</v>
      </c>
      <c r="C3" s="8">
        <v>5.0327777862548802E-3</v>
      </c>
      <c r="D3" s="8">
        <v>5.63573837280273E-3</v>
      </c>
      <c r="E3" s="8">
        <v>7.4980258941650304E-3</v>
      </c>
      <c r="F3" s="8">
        <v>9.4974040985107405E-3</v>
      </c>
    </row>
    <row r="4" spans="1:6" x14ac:dyDescent="0.25">
      <c r="A4" s="7">
        <v>3.8189888000488199E-3</v>
      </c>
      <c r="B4" s="7">
        <v>4.1453838348388602E-3</v>
      </c>
      <c r="C4" s="7">
        <v>4.9045085906982396E-3</v>
      </c>
      <c r="D4" s="7">
        <v>5.5255889892578099E-3</v>
      </c>
      <c r="E4" s="7">
        <v>7.43985176086425E-3</v>
      </c>
      <c r="F4" s="7">
        <v>9.1185569763183594E-3</v>
      </c>
    </row>
    <row r="5" spans="1:6" x14ac:dyDescent="0.25">
      <c r="A5" s="8">
        <v>3.5321712493896402E-3</v>
      </c>
      <c r="B5" s="8">
        <v>4.02426719665527E-3</v>
      </c>
      <c r="C5" s="8">
        <v>4.7674179077148403E-3</v>
      </c>
      <c r="D5" s="8">
        <v>5.7203769683837804E-3</v>
      </c>
      <c r="E5" s="8">
        <v>7.1249008178710903E-3</v>
      </c>
      <c r="F5" s="8">
        <v>8.6023807525634696E-3</v>
      </c>
    </row>
    <row r="6" spans="1:6" x14ac:dyDescent="0.25">
      <c r="A6" s="7">
        <v>3.5631656646728498E-3</v>
      </c>
      <c r="B6" s="7">
        <v>4.6305656433105399E-3</v>
      </c>
      <c r="C6" s="7">
        <v>4.7380924224853498E-3</v>
      </c>
      <c r="D6" s="7">
        <v>5.3641796112060504E-3</v>
      </c>
      <c r="E6" s="7">
        <v>7.4191093444824201E-3</v>
      </c>
      <c r="F6" s="7">
        <v>8.9905261993408203E-3</v>
      </c>
    </row>
    <row r="7" spans="1:6" x14ac:dyDescent="0.25">
      <c r="A7" s="8">
        <v>3.5440921783447201E-3</v>
      </c>
      <c r="B7" s="8">
        <v>4.3210983276367101E-3</v>
      </c>
      <c r="C7" s="8">
        <v>5.3415298461914002E-3</v>
      </c>
      <c r="D7" s="8">
        <v>6.0241222381591797E-3</v>
      </c>
      <c r="E7" s="8">
        <v>7.2510242462158203E-3</v>
      </c>
      <c r="F7" s="8">
        <v>8.8615417480468698E-3</v>
      </c>
    </row>
    <row r="8" spans="1:6" x14ac:dyDescent="0.25">
      <c r="A8" s="7">
        <v>3.4809112548828099E-3</v>
      </c>
      <c r="B8" s="7">
        <v>4.2986869812011701E-3</v>
      </c>
      <c r="C8" s="7">
        <v>4.8034191131591797E-3</v>
      </c>
      <c r="D8" s="7">
        <v>5.5742263793945304E-3</v>
      </c>
      <c r="E8" s="7">
        <v>7.6315402984619097E-3</v>
      </c>
      <c r="F8" s="7">
        <v>8.8996887207031198E-3</v>
      </c>
    </row>
    <row r="9" spans="1:6" x14ac:dyDescent="0.25">
      <c r="A9" s="8">
        <v>3.4942626953125E-3</v>
      </c>
      <c r="B9" s="8">
        <v>4.4243335723876901E-3</v>
      </c>
      <c r="C9" s="8">
        <v>4.8246383666992101E-3</v>
      </c>
      <c r="D9" s="8">
        <v>5.7797431945800703E-3</v>
      </c>
      <c r="E9" s="8">
        <v>7.6365470886230399E-3</v>
      </c>
      <c r="F9" s="8">
        <v>8.72802734375E-3</v>
      </c>
    </row>
    <row r="10" spans="1:6" x14ac:dyDescent="0.25">
      <c r="A10" s="7">
        <v>4.2831897735595703E-3</v>
      </c>
      <c r="B10" s="7">
        <v>1.48313045501708E-2</v>
      </c>
      <c r="C10" s="7">
        <v>4.7316551208495998E-3</v>
      </c>
      <c r="D10" s="7">
        <v>5.7938098907470703E-3</v>
      </c>
      <c r="E10" s="7">
        <v>7.1530342102050703E-3</v>
      </c>
      <c r="F10" s="7">
        <v>8.9101791381835903E-3</v>
      </c>
    </row>
    <row r="11" spans="1:6" x14ac:dyDescent="0.25">
      <c r="A11" s="11">
        <v>3.5791397094726502E-3</v>
      </c>
      <c r="B11" s="12">
        <v>4.1053295135498004E-3</v>
      </c>
      <c r="C11" s="12">
        <v>4.8835277557373004E-3</v>
      </c>
      <c r="D11" s="12">
        <v>5.6612491607665998E-3</v>
      </c>
      <c r="E11" s="12">
        <v>6.7458152770995998E-3</v>
      </c>
      <c r="F11" s="12">
        <v>8.9771747589111293E-3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D4473-F029-42A7-89A5-6EE5A2C2DB67}">
  <dimension ref="A1:F11"/>
  <sheetViews>
    <sheetView workbookViewId="0">
      <selection activeCell="M7" sqref="M7"/>
    </sheetView>
  </sheetViews>
  <sheetFormatPr defaultRowHeight="15" x14ac:dyDescent="0.25"/>
  <sheetData>
    <row r="1" spans="1:6" x14ac:dyDescent="0.25">
      <c r="A1" t="s">
        <v>277</v>
      </c>
      <c r="B1" t="s">
        <v>278</v>
      </c>
      <c r="C1" t="s">
        <v>279</v>
      </c>
      <c r="D1" t="s">
        <v>280</v>
      </c>
      <c r="E1" t="s">
        <v>281</v>
      </c>
      <c r="F1" t="s">
        <v>282</v>
      </c>
    </row>
    <row r="2" spans="1:6" x14ac:dyDescent="0.25">
      <c r="A2" s="7">
        <v>5.78074999998534E-2</v>
      </c>
      <c r="B2" s="7">
        <v>6.4846166999814103E-2</v>
      </c>
      <c r="C2" s="7">
        <v>0.168602750000445</v>
      </c>
      <c r="D2" s="7">
        <v>0.38118024999994299</v>
      </c>
      <c r="E2" s="7">
        <v>1.9745873339997999</v>
      </c>
      <c r="F2" s="7">
        <v>1.23514304200034</v>
      </c>
    </row>
    <row r="3" spans="1:6" x14ac:dyDescent="0.25">
      <c r="A3" s="8">
        <v>3.9888125000288703E-2</v>
      </c>
      <c r="B3" s="8">
        <v>5.3255167000315802E-2</v>
      </c>
      <c r="C3" s="8">
        <v>7.4470166000082799E-2</v>
      </c>
      <c r="D3" s="8">
        <v>0.28343674999996399</v>
      </c>
      <c r="E3" s="8">
        <v>0.82913062499983403</v>
      </c>
      <c r="F3" s="8">
        <v>1.2422580009997499</v>
      </c>
    </row>
    <row r="4" spans="1:6" x14ac:dyDescent="0.25">
      <c r="A4" s="7">
        <v>2.8228874999967901E-2</v>
      </c>
      <c r="B4" s="7">
        <v>2.0007292000173E-2</v>
      </c>
      <c r="C4" s="7">
        <v>8.8303416000144297E-2</v>
      </c>
      <c r="D4" s="7">
        <v>0.40008525000030198</v>
      </c>
      <c r="E4" s="7">
        <v>0.43395962500016999</v>
      </c>
      <c r="F4" s="7">
        <v>4.4783545440000099</v>
      </c>
    </row>
    <row r="5" spans="1:6" x14ac:dyDescent="0.25">
      <c r="A5" s="8">
        <v>2.8433916999802002E-2</v>
      </c>
      <c r="B5" s="8">
        <v>2.7863165999860901E-2</v>
      </c>
      <c r="C5" s="8">
        <v>9.3740249999882494E-2</v>
      </c>
      <c r="D5" s="8">
        <v>0.15869841599987899</v>
      </c>
      <c r="E5" s="8">
        <v>0.52399945800016201</v>
      </c>
      <c r="F5" s="8">
        <v>1.67711304199974</v>
      </c>
    </row>
    <row r="6" spans="1:6" x14ac:dyDescent="0.25">
      <c r="A6" s="7">
        <v>4.4324792000224898E-2</v>
      </c>
      <c r="B6" s="7">
        <v>4.92233330000999E-2</v>
      </c>
      <c r="C6" s="7">
        <v>0.103318750000198</v>
      </c>
      <c r="D6" s="7">
        <v>0.165316750000329</v>
      </c>
      <c r="E6" s="7">
        <v>0.73774899999989396</v>
      </c>
      <c r="F6" s="7">
        <v>2.6676563349997102</v>
      </c>
    </row>
    <row r="7" spans="1:6" x14ac:dyDescent="0.25">
      <c r="A7" s="8">
        <v>4.8121415999958103E-2</v>
      </c>
      <c r="B7" s="8">
        <v>5.1922249999734001E-2</v>
      </c>
      <c r="C7" s="8">
        <v>0.11625504199992</v>
      </c>
      <c r="D7" s="8">
        <v>0.20384345899992601</v>
      </c>
      <c r="E7" s="8">
        <v>0.85136941800010302</v>
      </c>
      <c r="F7" s="8">
        <v>2.9854539190000602</v>
      </c>
    </row>
    <row r="8" spans="1:6" x14ac:dyDescent="0.25">
      <c r="A8" s="7">
        <v>5.5611165999834997E-2</v>
      </c>
      <c r="B8" s="7">
        <v>5.5771708000065701E-2</v>
      </c>
      <c r="C8" s="7">
        <v>0.13974787500001101</v>
      </c>
      <c r="D8" s="7">
        <v>0.30268154199984498</v>
      </c>
      <c r="E8" s="7">
        <v>0.48733279199996099</v>
      </c>
      <c r="F8" s="7">
        <v>1.1968654590000301</v>
      </c>
    </row>
    <row r="9" spans="1:6" x14ac:dyDescent="0.25">
      <c r="A9" s="8">
        <v>1.50465840001743E-2</v>
      </c>
      <c r="B9" s="8">
        <v>5.66445829999793E-2</v>
      </c>
      <c r="C9" s="8">
        <v>0.202652332999605</v>
      </c>
      <c r="D9" s="8">
        <v>0.193798458999935</v>
      </c>
      <c r="E9" s="8">
        <v>1.2455521669999099</v>
      </c>
      <c r="F9" s="8">
        <v>1.51752133400032</v>
      </c>
    </row>
    <row r="10" spans="1:6" x14ac:dyDescent="0.25">
      <c r="A10" s="7">
        <v>4.4080166999719901E-2</v>
      </c>
      <c r="B10" s="7">
        <v>6.3491874999726805E-2</v>
      </c>
      <c r="C10" s="7">
        <v>0.116587292000076</v>
      </c>
      <c r="D10" s="7">
        <v>0.25469179199990299</v>
      </c>
      <c r="E10" s="7">
        <v>0.74755229199990902</v>
      </c>
      <c r="F10" s="7">
        <v>2.6582356270000602</v>
      </c>
    </row>
    <row r="11" spans="1:6" x14ac:dyDescent="0.25">
      <c r="A11" s="11">
        <v>6.6444000000046799E-2</v>
      </c>
      <c r="B11" s="12">
        <v>5.1364457999625301E-2</v>
      </c>
      <c r="C11" s="12">
        <v>0.20691229200019701</v>
      </c>
      <c r="D11" s="12">
        <v>0.33562787599976202</v>
      </c>
      <c r="E11" s="12">
        <v>7.0090071280001203</v>
      </c>
      <c r="F11" s="12">
        <v>1.88445083500027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0D750-DDAA-4327-9449-D0F93D1C9F9A}">
  <dimension ref="A1:F11"/>
  <sheetViews>
    <sheetView workbookViewId="0">
      <selection activeCell="I15" sqref="I15"/>
    </sheetView>
  </sheetViews>
  <sheetFormatPr defaultRowHeight="15" x14ac:dyDescent="0.25"/>
  <sheetData>
    <row r="1" spans="1:6" x14ac:dyDescent="0.25">
      <c r="A1" t="s">
        <v>277</v>
      </c>
      <c r="B1" t="s">
        <v>278</v>
      </c>
      <c r="C1" t="s">
        <v>279</v>
      </c>
      <c r="D1" t="s">
        <v>280</v>
      </c>
      <c r="E1" t="s">
        <v>281</v>
      </c>
      <c r="F1" t="s">
        <v>282</v>
      </c>
    </row>
    <row r="2" spans="1:6" x14ac:dyDescent="0.25">
      <c r="A2" s="7">
        <v>9.0659749999758704E-2</v>
      </c>
      <c r="B2" s="7">
        <v>0.123557750000145</v>
      </c>
      <c r="C2" s="7">
        <v>0.82291654199980202</v>
      </c>
      <c r="D2" s="7">
        <v>2.7484046260005899</v>
      </c>
      <c r="E2" s="7">
        <v>25.6964639699999</v>
      </c>
      <c r="F2" s="7">
        <v>3.32769850099975</v>
      </c>
    </row>
    <row r="3" spans="1:6" x14ac:dyDescent="0.25">
      <c r="A3" s="8">
        <v>5.8049999999639099E-2</v>
      </c>
      <c r="B3" s="8">
        <v>0.174720875000275</v>
      </c>
      <c r="C3" s="8">
        <v>0.88722950099963704</v>
      </c>
      <c r="D3" s="8">
        <v>4.3689845439994297</v>
      </c>
      <c r="E3" s="8">
        <v>25.0604030530003</v>
      </c>
      <c r="F3" s="8">
        <v>43.969725020000602</v>
      </c>
    </row>
    <row r="4" spans="1:6" x14ac:dyDescent="0.25">
      <c r="A4" s="7">
        <v>5.3727833000266401E-2</v>
      </c>
      <c r="B4" s="7">
        <v>0.12626474999979101</v>
      </c>
      <c r="C4" s="7">
        <v>0.81283458399957398</v>
      </c>
      <c r="D4" s="7">
        <v>4.7785656269998</v>
      </c>
      <c r="E4" s="7">
        <v>13.9307466729997</v>
      </c>
      <c r="F4" s="7">
        <v>105.602236048999</v>
      </c>
    </row>
    <row r="5" spans="1:6" x14ac:dyDescent="0.25">
      <c r="A5" s="8">
        <v>5.4628792000585201E-2</v>
      </c>
      <c r="B5" s="8">
        <v>0.103825333000713</v>
      </c>
      <c r="C5" s="8">
        <v>0.79964345899952605</v>
      </c>
      <c r="D5" s="8">
        <v>1.92413308400045</v>
      </c>
      <c r="E5" s="8">
        <v>18.090029300000399</v>
      </c>
      <c r="F5" s="8">
        <v>69.539149072999805</v>
      </c>
    </row>
    <row r="6" spans="1:6" x14ac:dyDescent="0.25">
      <c r="A6" s="7">
        <v>6.7796667000038696E-2</v>
      </c>
      <c r="B6" s="7">
        <v>0.10428475000026</v>
      </c>
      <c r="C6" s="7">
        <v>1.5188525009998499</v>
      </c>
      <c r="D6" s="7">
        <v>2.4920137510007399</v>
      </c>
      <c r="E6" s="7">
        <v>18.773501841999799</v>
      </c>
      <c r="F6" s="7">
        <v>95.267819126000106</v>
      </c>
    </row>
    <row r="7" spans="1:6" x14ac:dyDescent="0.25">
      <c r="A7" s="8">
        <v>5.9643624999807798E-2</v>
      </c>
      <c r="B7" s="8">
        <v>0.10405258399987299</v>
      </c>
      <c r="C7" s="8">
        <v>0.87141316699944504</v>
      </c>
      <c r="D7" s="8">
        <v>2.0492544589997101</v>
      </c>
      <c r="E7" s="8">
        <v>13.0287071299999</v>
      </c>
      <c r="F7" s="8">
        <v>44.019741561999503</v>
      </c>
    </row>
    <row r="8" spans="1:6" x14ac:dyDescent="0.25">
      <c r="A8" s="7">
        <v>7.3612582999885406E-2</v>
      </c>
      <c r="B8" s="7">
        <v>0.11870591700062499</v>
      </c>
      <c r="C8" s="7">
        <v>0.97011229200052096</v>
      </c>
      <c r="D8" s="7">
        <v>3.97414858499996</v>
      </c>
      <c r="E8" s="7">
        <v>3.9797428349993398</v>
      </c>
      <c r="F8" s="7">
        <v>55.732546899999697</v>
      </c>
    </row>
    <row r="9" spans="1:6" x14ac:dyDescent="0.25">
      <c r="A9" s="8">
        <v>7.1703583000271395E-2</v>
      </c>
      <c r="B9" s="8">
        <v>9.3496290999610196E-2</v>
      </c>
      <c r="C9" s="8">
        <v>1.67325000100026</v>
      </c>
      <c r="D9" s="8">
        <v>2.47690783400048</v>
      </c>
      <c r="E9" s="8">
        <v>6.0642318359996299</v>
      </c>
      <c r="F9" s="8">
        <v>28.185838387999802</v>
      </c>
    </row>
    <row r="10" spans="1:6" x14ac:dyDescent="0.25">
      <c r="A10" s="7">
        <v>7.0189584000218005E-2</v>
      </c>
      <c r="B10" s="7">
        <v>0.14683254099963899</v>
      </c>
      <c r="C10" s="7">
        <v>1.0260740840003499</v>
      </c>
      <c r="D10" s="7">
        <v>2.8002696270004801</v>
      </c>
      <c r="E10" s="7">
        <v>6.8716945449996203</v>
      </c>
      <c r="F10" s="7">
        <v>77.706257493999999</v>
      </c>
    </row>
    <row r="11" spans="1:6" x14ac:dyDescent="0.25">
      <c r="A11" s="11">
        <v>4.1546958999788303E-2</v>
      </c>
      <c r="B11" s="12">
        <v>5.12649590000364E-2</v>
      </c>
      <c r="C11" s="12">
        <v>1.18243399999937</v>
      </c>
      <c r="D11" s="12">
        <v>3.28088875100002</v>
      </c>
      <c r="E11" s="12">
        <v>30.645577221999702</v>
      </c>
      <c r="F11" s="12">
        <v>33.318394347999799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1298D-DB3B-404D-8EF4-AD7B0DACAA41}">
  <dimension ref="A1:F11"/>
  <sheetViews>
    <sheetView tabSelected="1" workbookViewId="0">
      <selection activeCell="N16" sqref="N16"/>
    </sheetView>
  </sheetViews>
  <sheetFormatPr defaultRowHeight="15" x14ac:dyDescent="0.25"/>
  <sheetData>
    <row r="1" spans="1:6" x14ac:dyDescent="0.25">
      <c r="A1" t="s">
        <v>277</v>
      </c>
      <c r="B1" t="s">
        <v>278</v>
      </c>
      <c r="C1" t="s">
        <v>279</v>
      </c>
      <c r="D1" t="s">
        <v>280</v>
      </c>
      <c r="E1" t="s">
        <v>281</v>
      </c>
      <c r="F1" t="s">
        <v>282</v>
      </c>
    </row>
    <row r="2" spans="1:6" x14ac:dyDescent="0.25">
      <c r="A2" s="9">
        <v>0.16066162499919301</v>
      </c>
      <c r="B2" s="9">
        <v>0.19009912499950499</v>
      </c>
      <c r="C2" s="9">
        <v>2.42598616599934</v>
      </c>
      <c r="D2" s="9">
        <v>18.026117092000199</v>
      </c>
      <c r="E2" s="9">
        <v>159.59676973800001</v>
      </c>
      <c r="F2" s="9">
        <v>87.265396372999007</v>
      </c>
    </row>
    <row r="3" spans="1:6" x14ac:dyDescent="0.25">
      <c r="A3" s="10">
        <v>8.8539541999125504E-2</v>
      </c>
      <c r="B3" s="10">
        <v>0.24558804200023501</v>
      </c>
      <c r="C3" s="10">
        <v>4.9841860440001202</v>
      </c>
      <c r="D3" s="10">
        <v>15.811426299999701</v>
      </c>
      <c r="E3" s="10">
        <v>177.60294691299899</v>
      </c>
      <c r="F3" s="10">
        <v>156.993464821</v>
      </c>
    </row>
    <row r="4" spans="1:6" x14ac:dyDescent="0.25">
      <c r="A4" s="9">
        <v>9.3913083999723299E-2</v>
      </c>
      <c r="B4" s="9">
        <v>0.18059608299972699</v>
      </c>
      <c r="C4" s="9">
        <v>1.8357979590000399</v>
      </c>
      <c r="D4" s="9">
        <v>13.6218335060002</v>
      </c>
      <c r="E4" s="9">
        <v>85.405975870999995</v>
      </c>
      <c r="F4" s="9">
        <v>899.17824857400001</v>
      </c>
    </row>
    <row r="5" spans="1:6" x14ac:dyDescent="0.25">
      <c r="A5" s="10">
        <v>8.8027249999868204E-2</v>
      </c>
      <c r="B5" s="10">
        <v>0.26194841599954</v>
      </c>
      <c r="C5" s="10">
        <v>3.6631602939996801</v>
      </c>
      <c r="D5" s="10">
        <v>4.00780341800054</v>
      </c>
      <c r="E5" s="10">
        <v>96.128000085000096</v>
      </c>
      <c r="F5" s="10">
        <v>681.20098185200004</v>
      </c>
    </row>
    <row r="6" spans="1:6" x14ac:dyDescent="0.25">
      <c r="A6" s="9">
        <v>0.15493399999832</v>
      </c>
      <c r="B6" s="9">
        <v>0.194003292000161</v>
      </c>
      <c r="C6" s="9">
        <v>4.3989879189994099</v>
      </c>
      <c r="D6" s="9">
        <v>18.430154466999699</v>
      </c>
      <c r="E6" s="9">
        <v>70.043700572999995</v>
      </c>
      <c r="F6" s="9">
        <v>331.37683652599998</v>
      </c>
    </row>
    <row r="7" spans="1:6" x14ac:dyDescent="0.25">
      <c r="A7" s="10">
        <v>0.24887812500128301</v>
      </c>
      <c r="B7" s="10">
        <v>0.30845104099989801</v>
      </c>
      <c r="C7" s="10">
        <v>3.1248001260000802</v>
      </c>
      <c r="D7" s="10">
        <v>6.93431383700044</v>
      </c>
      <c r="E7" s="10">
        <v>56.528150317999398</v>
      </c>
      <c r="F7" s="10">
        <v>549.05003112499901</v>
      </c>
    </row>
    <row r="8" spans="1:6" x14ac:dyDescent="0.25">
      <c r="A8" s="9">
        <v>0.113710666999395</v>
      </c>
      <c r="B8" s="9">
        <v>0.29773333400044</v>
      </c>
      <c r="C8" s="9">
        <v>8.9091196710005498</v>
      </c>
      <c r="D8" s="9">
        <v>14.789426590000399</v>
      </c>
      <c r="E8" s="9">
        <v>21.245699134999899</v>
      </c>
      <c r="F8" s="9">
        <v>367.492057958001</v>
      </c>
    </row>
    <row r="9" spans="1:6" x14ac:dyDescent="0.25">
      <c r="A9" s="10">
        <v>0.18527125100081299</v>
      </c>
      <c r="B9" s="10">
        <v>0.16896749999978</v>
      </c>
      <c r="C9" s="10">
        <v>8.0786281290002009</v>
      </c>
      <c r="D9" s="10">
        <v>13.3802078809994</v>
      </c>
      <c r="E9" s="10">
        <v>40.264259976998801</v>
      </c>
      <c r="F9" s="10">
        <v>203.371497341999</v>
      </c>
    </row>
    <row r="10" spans="1:6" x14ac:dyDescent="0.25">
      <c r="A10" s="9">
        <v>0.102808667001227</v>
      </c>
      <c r="B10" s="9">
        <v>0.29684416700001698</v>
      </c>
      <c r="C10" s="9">
        <v>2.1229899179998002</v>
      </c>
      <c r="D10" s="9">
        <v>7.0354148360002</v>
      </c>
      <c r="E10" s="9">
        <v>37.626907600000699</v>
      </c>
      <c r="F10" s="9">
        <v>430.75752302799901</v>
      </c>
    </row>
    <row r="11" spans="1:6" x14ac:dyDescent="0.25">
      <c r="A11" s="13">
        <v>9.9966666999534895E-2</v>
      </c>
      <c r="B11" s="14">
        <v>0.151434417000018</v>
      </c>
      <c r="C11" s="14">
        <v>3.3875301259995401</v>
      </c>
      <c r="D11" s="14">
        <v>20.098683342000101</v>
      </c>
      <c r="E11" s="14">
        <v>236.93741298399999</v>
      </c>
      <c r="F11" s="14">
        <v>142.233111815001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compare_results_1_nodes</vt:lpstr>
      <vt:lpstr>comparaciones</vt:lpstr>
      <vt:lpstr>compare_nodes</vt:lpstr>
      <vt:lpstr>compare_times</vt:lpstr>
      <vt:lpstr>compare_solutions</vt:lpstr>
      <vt:lpstr>Sheet1</vt:lpstr>
      <vt:lpstr>fortimes</vt:lpstr>
      <vt:lpstr>timegreedy</vt:lpstr>
      <vt:lpstr>time1</vt:lpstr>
      <vt:lpstr>time2</vt:lpstr>
      <vt:lpstr>time3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Getsemani Villegas Gomez</cp:lastModifiedBy>
  <dcterms:created xsi:type="dcterms:W3CDTF">2025-11-08T08:05:48Z</dcterms:created>
  <dcterms:modified xsi:type="dcterms:W3CDTF">2026-06-16T05:33:10Z</dcterms:modified>
</cp:coreProperties>
</file>