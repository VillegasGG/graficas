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graficas\"/>
    </mc:Choice>
  </mc:AlternateContent>
  <xr:revisionPtr revIDLastSave="0" documentId="13_ncr:1_{9F43AEB0-8E5B-47E9-B45B-033325589DE5}" xr6:coauthVersionLast="47" xr6:coauthVersionMax="47" xr10:uidLastSave="{00000000-0000-0000-0000-000000000000}"/>
  <bookViews>
    <workbookView xWindow="-110" yWindow="-110" windowWidth="19420" windowHeight="10300" xr2:uid="{29209FFB-1D87-461F-B393-683DDBCDEF3F}"/>
  </bookViews>
  <sheets>
    <sheet name="compare_results_1_roots" sheetId="1" r:id="rId1"/>
    <sheet name="comparaciones" sheetId="5" r:id="rId2"/>
    <sheet name="solutions" sheetId="2" r:id="rId3"/>
    <sheet name="optimos" sheetId="3" r:id="rId4"/>
    <sheet name="duracion" sheetId="4" r:id="rId5"/>
    <sheet name="promedi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C6" i="5"/>
  <c r="D6" i="5"/>
  <c r="E6" i="5"/>
  <c r="F6" i="5"/>
  <c r="G6" i="5"/>
  <c r="H6" i="5"/>
  <c r="I6" i="5"/>
  <c r="C2" i="5"/>
  <c r="C3" i="5"/>
  <c r="C4" i="5"/>
  <c r="C5" i="5"/>
  <c r="H13" i="5"/>
  <c r="H14" i="5"/>
  <c r="H15" i="5"/>
  <c r="H16" i="5"/>
  <c r="H17" i="5"/>
  <c r="G13" i="5"/>
  <c r="G14" i="5"/>
  <c r="G15" i="5"/>
  <c r="G16" i="5"/>
  <c r="G17" i="5"/>
  <c r="F13" i="5"/>
  <c r="F14" i="5"/>
  <c r="F15" i="5"/>
  <c r="F16" i="5"/>
  <c r="F17" i="5"/>
  <c r="E13" i="5"/>
  <c r="E14" i="5"/>
  <c r="E15" i="5"/>
  <c r="E16" i="5"/>
  <c r="E17" i="5"/>
  <c r="D13" i="5"/>
  <c r="D14" i="5"/>
  <c r="D15" i="5"/>
  <c r="D16" i="5"/>
  <c r="D17" i="5"/>
  <c r="C13" i="5"/>
  <c r="C14" i="5"/>
  <c r="C15" i="5"/>
  <c r="C16" i="5"/>
  <c r="C17" i="5"/>
  <c r="B13" i="5"/>
  <c r="B14" i="5"/>
  <c r="B15" i="5"/>
  <c r="B16" i="5"/>
  <c r="B17" i="5"/>
  <c r="B3" i="5"/>
  <c r="B4" i="5"/>
  <c r="B5" i="5"/>
  <c r="B2" i="5"/>
  <c r="F2" i="5"/>
  <c r="F3" i="5"/>
  <c r="I3" i="5" s="1"/>
  <c r="F4" i="5"/>
  <c r="I4" i="5" s="1"/>
  <c r="F5" i="5"/>
  <c r="E2" i="5"/>
  <c r="E3" i="5"/>
  <c r="E4" i="5"/>
  <c r="E5" i="5"/>
  <c r="D3" i="5"/>
  <c r="D2" i="5"/>
  <c r="D4" i="5"/>
  <c r="D5" i="5"/>
  <c r="I2" i="5" l="1"/>
  <c r="I5" i="5"/>
  <c r="G3" i="5"/>
  <c r="H2" i="5"/>
  <c r="H5" i="5"/>
  <c r="G2" i="5"/>
  <c r="H4" i="5"/>
  <c r="H3" i="5"/>
  <c r="G5" i="5"/>
  <c r="G4" i="5"/>
</calcChain>
</file>

<file path=xl/sharedStrings.xml><?xml version="1.0" encoding="utf-8"?>
<sst xmlns="http://schemas.openxmlformats.org/spreadsheetml/2006/main" count="635" uniqueCount="258">
  <si>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</si>
  <si>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</si>
  <si>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</si>
  <si>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</si>
  <si>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</si>
  <si>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</si>
  <si>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</si>
  <si>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</si>
  <si>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</si>
  <si>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</si>
  <si>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</si>
  <si>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</si>
  <si>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</si>
  <si>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</si>
  <si>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</si>
  <si>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</si>
  <si>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[-1, 20, 21]</t>
  </si>
  <si>
    <t>[20, 21]</t>
  </si>
  <si>
    <t>[-1, 24]</t>
  </si>
  <si>
    <t>[24]</t>
  </si>
  <si>
    <t>[-1, 4, 33, 36, 1, 14, 8, 31]</t>
  </si>
  <si>
    <t>[-1, 19, 9, 20, 21, 3]</t>
  </si>
  <si>
    <t>[-1, 9, 33, 36, 39]</t>
  </si>
  <si>
    <t>[-1, 9, 19, 20]</t>
  </si>
  <si>
    <t>[19, 9, 20, 21, 3]</t>
  </si>
  <si>
    <t>[-1, 10, 3, 16, 29, 1]</t>
  </si>
  <si>
    <t>[-1, 10, 34, 25, 4]</t>
  </si>
  <si>
    <t>[-1, 34, 2, 25, 18, 36]</t>
  </si>
  <si>
    <t>[10, 34, 4, 25]</t>
  </si>
  <si>
    <t>[-1, 27, 22]</t>
  </si>
  <si>
    <t>[31, 20, 13]</t>
  </si>
  <si>
    <t>[-1, 12, 37]</t>
  </si>
  <si>
    <t>[-1, 37, 12]</t>
  </si>
  <si>
    <t>[12, 37]</t>
  </si>
  <si>
    <t>[-1, 26, 3, 15, 31, 33, 0, 5, 20, 18]</t>
  </si>
  <si>
    <t>[-1, 26, 4, 10, 13, 14]</t>
  </si>
  <si>
    <t>[-1, 4, 10, 13, 14]</t>
  </si>
  <si>
    <t>[26, 4, 10, 13, 14]</t>
  </si>
  <si>
    <t>[-1, 10, 15, 29, 8]</t>
  </si>
  <si>
    <t>[-1, 33, 11, 31]</t>
  </si>
  <si>
    <t>[15, 10, 29, 8]</t>
  </si>
  <si>
    <t>[-1, 25, 14, 30, 39, 4, 1, 21, 3, 38]</t>
  </si>
  <si>
    <t>[-1, 25, 14, 30, 39, 21, 1, 4, 38, 3]</t>
  </si>
  <si>
    <t>[-1, 26, 20, 3, 38]</t>
  </si>
  <si>
    <t>[25, 14, 6, 4, 1, 21]</t>
  </si>
  <si>
    <t>[-1, 10, 16, 9, 35]</t>
  </si>
  <si>
    <t>[-1, 24, 12, 35]</t>
  </si>
  <si>
    <t>[-1, 10, 9, 35]</t>
  </si>
  <si>
    <t>[24, 12, 35]</t>
  </si>
  <si>
    <t>[-1, 3, 15, 25]</t>
  </si>
  <si>
    <t>[-1, 15, 3, 25]</t>
  </si>
  <si>
    <t>[3, 15, 25]</t>
  </si>
  <si>
    <t>[-1, 25, 3, 19, 39]</t>
  </si>
  <si>
    <t>[-1, 25, 19, 3, 39]</t>
  </si>
  <si>
    <t>[-1, 34, 31, 12]</t>
  </si>
  <si>
    <t>[25, 19, 3, 39]</t>
  </si>
  <si>
    <t>[-1, 11, 1, 4, 9, 21]</t>
  </si>
  <si>
    <t>[-1, 35, 26, 4, 20]</t>
  </si>
  <si>
    <t>[-1, 35, 4, 26, 38, 23]</t>
  </si>
  <si>
    <t>[-1, 35, 26, 38, 23]</t>
  </si>
  <si>
    <t>[1, 35, 21, 39]</t>
  </si>
  <si>
    <t>[-1, 17, 10, 21, 24, 19]</t>
  </si>
  <si>
    <t>[-1, 24, 17, 21, 10, 19]</t>
  </si>
  <si>
    <t>[-1, 17, 21, 10, 24, 19]</t>
  </si>
  <si>
    <t>[-1, 17, 24, 12, 22]</t>
  </si>
  <si>
    <t>[35, 37, 20, 30, 19]</t>
  </si>
  <si>
    <t>[-1, 6, 12, 21, 19, 2]</t>
  </si>
  <si>
    <t>[-1, 7, 6, 28]</t>
  </si>
  <si>
    <t>[6, 21, 2, 19]</t>
  </si>
  <si>
    <t>[-1, 9, 7, 11, 18, 19, 28]</t>
  </si>
  <si>
    <t>[-1, 25, 11, 27]</t>
  </si>
  <si>
    <t>[25, 11, 27]</t>
  </si>
  <si>
    <t>[-1, 20, 29, 1, 35]</t>
  </si>
  <si>
    <t>[-1, 1, 35, 20, 29]</t>
  </si>
  <si>
    <t>[-1, 29, 1, 20, 35, 0]</t>
  </si>
  <si>
    <t>[-1, 1, 20, 29, 35]</t>
  </si>
  <si>
    <t>[1, 29, 35, 20]</t>
  </si>
  <si>
    <t>[-1, 25, 12, 24, 27]</t>
  </si>
  <si>
    <t>[-1, 25, 16, 24, 27]</t>
  </si>
  <si>
    <t>[-1, 4, 22, 15, 20]</t>
  </si>
  <si>
    <t>[25, 16, 24, 27]</t>
  </si>
  <si>
    <t>[-1, 36, 28]</t>
  </si>
  <si>
    <t>[-1, 36]</t>
  </si>
  <si>
    <t>[-1, 28]</t>
  </si>
  <si>
    <t>[36, 28]</t>
  </si>
  <si>
    <t>[-1, 3, 35, 6, 21, 23, 7, 18]</t>
  </si>
  <si>
    <t>[-1, 6, 21, 37, 7, 23]</t>
  </si>
  <si>
    <t>[-1, 6, 21, 1, 5, 2, 34]</t>
  </si>
  <si>
    <t>[-1, 6, 12, 5]</t>
  </si>
  <si>
    <t>[10, 12, 5, 4]</t>
  </si>
  <si>
    <t>[-1, 14, 2, 11, 22, 30]</t>
  </si>
  <si>
    <t>[-1, 14, 11, 22, 2, 30]</t>
  </si>
  <si>
    <t>[-1, 14, 20, 25, 27]</t>
  </si>
  <si>
    <t>[14, 11, 2, 22, 30]</t>
  </si>
  <si>
    <t>[-1, 24, 22, 23, 11, 28, 35]</t>
  </si>
  <si>
    <t>[-1, 24, 23, 22, 38, 8, 3]</t>
  </si>
  <si>
    <t>[-1, 24, 23, 22, 38, 3, 8]</t>
  </si>
  <si>
    <t>[-1, 38, 11, 36, 13]</t>
  </si>
  <si>
    <t>[23, 38, 11, 13, 36]</t>
  </si>
  <si>
    <t>[-1, 37, 2, 39, 18, 19, 30]</t>
  </si>
  <si>
    <t>[-1, 37, 18, 2, 39, 30, 19]</t>
  </si>
  <si>
    <t>[-1, 37, 39, 18, 2, 30, 19]</t>
  </si>
  <si>
    <t>[-1, 29, 6]</t>
  </si>
  <si>
    <t>[37, 29]</t>
  </si>
  <si>
    <t>[-1, 13, 4, 11, 36, 24]</t>
  </si>
  <si>
    <t>[-1, 13, 4, 36, 11, 24]</t>
  </si>
  <si>
    <t>[-1, 13, 36, 4, 11, 24]</t>
  </si>
  <si>
    <t>[-1, 13, 36, 24]</t>
  </si>
  <si>
    <t>[14, 26, 1, 24]</t>
  </si>
  <si>
    <t>[-1, 25, 8]</t>
  </si>
  <si>
    <t>[25, 8]</t>
  </si>
  <si>
    <t>[-1, 2, 23, 31, 24, 0, 27]</t>
  </si>
  <si>
    <t>[-1, 2, 31, 23, 24, 0, 27]</t>
  </si>
  <si>
    <t>[-1, 38, 19]</t>
  </si>
  <si>
    <t>[2, 23, 38, 11]</t>
  </si>
  <si>
    <t>[-1, 27, 1, 5, 13, 19, 4, 31, 39]</t>
  </si>
  <si>
    <t>[-1, 27, 5, 1, 13, 19, 39, 31, 4]</t>
  </si>
  <si>
    <t>[-1, 27, 1, 5, 13, 19, 39, 31, 4]</t>
  </si>
  <si>
    <t>[-1, 33, 0, 9, 38]</t>
  </si>
  <si>
    <t>[27, 33, 0, 9]</t>
  </si>
  <si>
    <t>[-1, 15, 23, 33, 34]</t>
  </si>
  <si>
    <t>[-1, 17, 21, 2]</t>
  </si>
  <si>
    <t>[15, 23, 34, 33]</t>
  </si>
  <si>
    <t>[-1, 36, 0, 31, 21, 6, 7, 34]</t>
  </si>
  <si>
    <t>[-1, 36, 0, 31, 21, 6, 34, 7]</t>
  </si>
  <si>
    <t>[-1, 36, 31, 0, 6, 21, 7, 34]</t>
  </si>
  <si>
    <t>[-1, 36, 37]</t>
  </si>
  <si>
    <t>[36, 37]</t>
  </si>
  <si>
    <t>[-1, 11, 2, 21]</t>
  </si>
  <si>
    <t>[11, 2, 21]</t>
  </si>
  <si>
    <t>[-1, 39, 2, 5, 21, 31, 32]</t>
  </si>
  <si>
    <t>[-1, 39, 2, 31, 28, 5]</t>
  </si>
  <si>
    <t>[-1, 39, 5, 28, 21, 2]</t>
  </si>
  <si>
    <t>[-1, 2, 28, 13, 30]</t>
  </si>
  <si>
    <t>[39, 2, 31, 21, 28]</t>
  </si>
  <si>
    <t>[-1, 30, 22, 6, 8, 26, 35]</t>
  </si>
  <si>
    <t>[-1, 30, 22, 21, 19, 31]</t>
  </si>
  <si>
    <t>[-1, 30, 22, 21, 31, 19]</t>
  </si>
  <si>
    <t>[-1, 18, 21, 25]</t>
  </si>
  <si>
    <t>[30, 22, 6, 8, 35, 26]</t>
  </si>
  <si>
    <t>[-1, 26, 28, 3, 8, 4, 6, 15]</t>
  </si>
  <si>
    <t>[-1, 26, 28, 3, 8, 6, 15, 4]</t>
  </si>
  <si>
    <t>[-1, 29, 31, 0]</t>
  </si>
  <si>
    <t>[29, 0, 31]</t>
  </si>
  <si>
    <t>[-1, 36, 9, 11, 33]</t>
  </si>
  <si>
    <t>[-1, 36, 11, 23]</t>
  </si>
  <si>
    <t>[-1, 36, 23, 3]</t>
  </si>
  <si>
    <t>[36, 11, 23]</t>
  </si>
  <si>
    <t>[-1, 16, 38, 11, 26, 35, 12, 8]</t>
  </si>
  <si>
    <t>[-1, 21, 17, 11, 38, 39, 9]</t>
  </si>
  <si>
    <t>[-1, 21, 10, 3]</t>
  </si>
  <si>
    <t>[21, 14, 10, 3]</t>
  </si>
  <si>
    <t>[-1, 8, 38, 4]</t>
  </si>
  <si>
    <t>[-1, 27, 38, 21]</t>
  </si>
  <si>
    <t>[27, 38, 21]</t>
  </si>
  <si>
    <t>[-1, 2, 7, 27, 38, 26, 29]</t>
  </si>
  <si>
    <t>[-1, 2, 7, 27, 38, 29, 26]</t>
  </si>
  <si>
    <t>[-1, 7, 27, 0, 8, 14, 33]</t>
  </si>
  <si>
    <t>[2, 7, 38, 27, 29, 26]</t>
  </si>
  <si>
    <t>[-1, 2, 5, 22, 13, 8, 9]</t>
  </si>
  <si>
    <t>[-1, 36, 1, 5, 22, 13, 8, 9]</t>
  </si>
  <si>
    <t>[-1, 2, 5, 22, 32, 15]</t>
  </si>
  <si>
    <t>[-1, 22, 6, 39]</t>
  </si>
  <si>
    <t>[2, 5, 22, 32, 15]</t>
  </si>
  <si>
    <t>[-1, 0, 17, 31, 21, 7, 3]</t>
  </si>
  <si>
    <t>[-1, 0, 32, 17, 23]</t>
  </si>
  <si>
    <t>[0, 32, 17, 23]</t>
  </si>
  <si>
    <t>[-1, 4, 14, 20, 23, 5, 16]</t>
  </si>
  <si>
    <t>[-1, 35, 32, 18, 16]</t>
  </si>
  <si>
    <t>[4, 14, 23, 5, 16]</t>
  </si>
  <si>
    <t>[-1, 23, 33, 35, 37, 6, 30, 12]</t>
  </si>
  <si>
    <t>[-1, 23, 37, 33, 35, 6, 30, 12]</t>
  </si>
  <si>
    <t>[-1, 35, 23, 33, 37, 30, 6, 12]</t>
  </si>
  <si>
    <t>[-1, 23, 22, 31, 16]</t>
  </si>
  <si>
    <t>[35, 23, 31, 30, 6]</t>
  </si>
  <si>
    <t>[-1, 32, 13, 16, 35, 1, 0, 39, 11]</t>
  </si>
  <si>
    <t>[-1, 32, 13, 35, 16, 1, 0, 39, 11]</t>
  </si>
  <si>
    <t>[-1, 19, 26]</t>
  </si>
  <si>
    <t>[3, 19, 33, 26]</t>
  </si>
  <si>
    <t>[-1, 14, 39, 0, 10, 36]</t>
  </si>
  <si>
    <t>[-1, 1, 21, 26]</t>
  </si>
  <si>
    <t>[14, 22, 0, 10, 36]</t>
  </si>
  <si>
    <t>[-1, 39, 22, 23, 25]</t>
  </si>
  <si>
    <t>[39, 22, 25, 23]</t>
  </si>
  <si>
    <t>[-1, 36, 11, 18, 20, 30, 22, 6]</t>
  </si>
  <si>
    <t>[-1, 36, 11, 25, 20, 30]</t>
  </si>
  <si>
    <t>[-1, 36, 25, 14, 24]</t>
  </si>
  <si>
    <t>[-1, 11, 34, 6, 22]</t>
  </si>
  <si>
    <t>[36, 18, 11, 6, 22, 30, 20]</t>
  </si>
  <si>
    <t>[-1, 39, 35, 4, 31, 6, 12, 10]</t>
  </si>
  <si>
    <t>[-1, 39, 4, 31, 12, 6, 10]</t>
  </si>
  <si>
    <t>[-1, 39, 19, 31, 38, 27]</t>
  </si>
  <si>
    <t>[39, 18, 19, 11, 28, 27]</t>
  </si>
  <si>
    <t>[-1, 0, 26, 29, 4, 18, 15, 28, 31, 17]</t>
  </si>
  <si>
    <t>[-1, 0, 37, 7, 36]</t>
  </si>
  <si>
    <t>[-1, 0, 26, 29, 36, 7]</t>
  </si>
  <si>
    <t>[-1, 35, 2, 18]</t>
  </si>
  <si>
    <t>[13, 7, 36]</t>
  </si>
  <si>
    <t>[-1, 6, 7, 23, 2, 35, 33]</t>
  </si>
  <si>
    <t>[-1, 38, 6, 7, 33, 35]</t>
  </si>
  <si>
    <t>[-1, 7, 38, 2, 33, 35]</t>
  </si>
  <si>
    <t>[-1, 17, 3, 0]</t>
  </si>
  <si>
    <t>[7, 38, 2, 33, 35]</t>
  </si>
  <si>
    <t>[-1, 31, 10, 32, 34, 0]</t>
  </si>
  <si>
    <t>[-1, 31, 32, 10, 34, 0]</t>
  </si>
  <si>
    <t>[-1, 32, 39, 4]</t>
  </si>
  <si>
    <t>[31, 10, 32, 34, 0]</t>
  </si>
  <si>
    <t>[-1, 4, 17, 31, 23]</t>
  </si>
  <si>
    <t>[-1, 4, 8, 5, 39]</t>
  </si>
  <si>
    <t>[4, 17, 31, 23]</t>
  </si>
  <si>
    <t>solution_rollout k=1</t>
  </si>
  <si>
    <t>optimal_rollout k=1</t>
  </si>
  <si>
    <t>time_taken k=1</t>
  </si>
  <si>
    <t>[25, 30, 39, 4, 1, 21, 38, 3]</t>
  </si>
  <si>
    <t>[10, 16, 9, 35]</t>
  </si>
  <si>
    <t>[3, 25, 39]</t>
  </si>
  <si>
    <t>[11, 1, 4, 9, 21]</t>
  </si>
  <si>
    <t>[17, 10, 21, 24, 19]</t>
  </si>
  <si>
    <t>[6, 12, 21, 19, 2]</t>
  </si>
  <si>
    <t>[39, 37, 19, 30]</t>
  </si>
  <si>
    <t>[2, 31, 24, 27, 0]</t>
  </si>
  <si>
    <t>[26, 8, 5]</t>
  </si>
  <si>
    <t>[35, 37, 33, 23, 6, 12]</t>
  </si>
  <si>
    <t>[19, 33, 26]</t>
  </si>
  <si>
    <t>[14, 39, 0, 10, 36]</t>
  </si>
  <si>
    <t>[39, 35, 4, 31, 6, 12, 10]</t>
  </si>
  <si>
    <t>[35, 4, 18, 30]</t>
  </si>
  <si>
    <t>solution_rollout k=2</t>
  </si>
  <si>
    <t>optimal_rollout k=2</t>
  </si>
  <si>
    <t>time_taken k=2</t>
  </si>
  <si>
    <t>[19, 36, 4, 1, 14, 7]</t>
  </si>
  <si>
    <t>[24, 23, 22, 11, 28, 35]</t>
  </si>
  <si>
    <t>[37, 18, 2, 39, 30, 19]</t>
  </si>
  <si>
    <t>[2, 24, 31, 23, 27, 0]</t>
  </si>
  <si>
    <t>[39, 2, 5, 31, 21, 32]</t>
  </si>
  <si>
    <t xml:space="preserve">solution_rollout k=3 </t>
  </si>
  <si>
    <t>optimal_rollout k=3</t>
  </si>
  <si>
    <t>time_taken k=3</t>
  </si>
  <si>
    <t>solution_ilp</t>
  </si>
  <si>
    <t>optimal_ilp</t>
  </si>
  <si>
    <t>duration_ilp</t>
  </si>
  <si>
    <t>solution_rollout k=3</t>
  </si>
  <si>
    <t>Grado raíz</t>
  </si>
  <si>
    <t>Prom. Nodos salvados óptimo IQCP</t>
  </si>
  <si>
    <t>Prom. Nodos salvados Rollout k=1</t>
  </si>
  <si>
    <t>Prom. Nodos salvados Rollout k=2</t>
  </si>
  <si>
    <t>Prom. Nodos salvados Rollout k=3</t>
  </si>
  <si>
    <t>GAP Rollout k=1</t>
  </si>
  <si>
    <t>GAP Rollout k=2</t>
  </si>
  <si>
    <t>GAP Rollout k=3</t>
  </si>
  <si>
    <t>Greedy</t>
  </si>
  <si>
    <t>Prom. T-CPU MIQCP</t>
  </si>
  <si>
    <t>Prom. T-CPU IQCP</t>
  </si>
  <si>
    <t>Prom. T-CPU ILP</t>
  </si>
  <si>
    <t>Prom. T-CPU Rollout k=1</t>
  </si>
  <si>
    <t>Prom. T-CPU Rollout k=2</t>
  </si>
  <si>
    <t>Prom. T-CPU Rollout k=3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</si>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</sst>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13" fillId="33" borderId="12" xfId="0" applyFont="1" applyFill="1" applyBorder="1"/>
    <xf numFmtId="166" fontId="0" fillId="0" borderId="0" xfId="42" applyNumberFormat="1" applyFont="1" applyAlignment="1">
      <alignment horizontal="right"/>
    </xf>
    <xf numFmtId="166" fontId="0" fillId="0" borderId="0" xfId="42" applyNumberFormat="1" applyFon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6" formatCode="0.000%"/>
    </dxf>
    <dxf>
      <numFmt numFmtId="166" formatCode="0.000%"/>
    </dxf>
    <dxf>
      <numFmt numFmtId="166" formatCode="0.000%"/>
    </dxf>
    <dxf>
      <fill>
        <patternFill patternType="solid">
          <fgColor theme="4" tint="0.79998168889431442"/>
          <bgColor theme="4" tint="0.79998168889431442"/>
        </patternFill>
      </fill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6E598-2845-47C9-9F1C-2B86C58FDB30}" name="Table1" displayName="Table1" ref="A1:AA51" totalsRowShown="0">
  <autoFilter ref="A1:AA51" xr:uid="{5056E598-2845-47C9-9F1C-2B86C58FDB30}"/>
  <tableColumns count="27">
    <tableColumn id="1" xr3:uid="{43E8161E-8BD6-45DA-8875-FD35C80B2EDE}" name="experiment"/>
    <tableColumn id="27" xr3:uid="{B23771B0-9106-4BB0-9C73-CB72EAA01E21}" name="root"/>
    <tableColumn id="2" xr3:uid="{1B9023AC-29BF-4810-B27A-9B052A6F816C}" name="duration_dp"/>
    <tableColumn id="3" xr3:uid="{733AAC01-26DA-47DE-9BC5-DABD4319C6C3}" name="solution_dp"/>
    <tableColumn id="4" xr3:uid="{C3F2F3DF-3650-484C-A558-920D4A0D996F}" name="optimal_dp"/>
    <tableColumn id="5" xr3:uid="{866B505A-DB13-4FBE-85B9-21BC9B8E6E39}" name="duration_iqcp"/>
    <tableColumn id="6" xr3:uid="{4F9332EA-31B6-4995-B916-B6084351AD08}" name="solution_iqcp"/>
    <tableColumn id="7" xr3:uid="{5E4D1758-80CB-407B-98ED-A75BF9FE09C1}" name="optimal_iqcp"/>
    <tableColumn id="8" xr3:uid="{92EBACA0-A5E7-4468-9CD8-5CF34178136B}" name="duration_ilp"/>
    <tableColumn id="9" xr3:uid="{1647D3E6-E02E-4BB9-90E2-AEC7BA566EE6}" name="solution_ilp"/>
    <tableColumn id="10" xr3:uid="{4E5B41BC-EE9A-4079-AC59-DB5A2B553F28}" name="optimal_ilp"/>
    <tableColumn id="11" xr3:uid="{84F36061-1DCE-47D2-90D6-FDA004F201B5}" name="duration_miqcp"/>
    <tableColumn id="12" xr3:uid="{32C6B973-7009-4FDE-B533-42EF42843BB6}" name="solution_miqcp"/>
    <tableColumn id="13" xr3:uid="{85A60CA3-A9BC-4A43-BC04-0233E77DCF12}" name="optimal_miqcp"/>
    <tableColumn id="14" xr3:uid="{E19C891E-7538-4D15-AD81-41CEB14412D9}" name="duration_greedy"/>
    <tableColumn id="15" xr3:uid="{150EB984-E74C-47F2-B8BE-5D2C0EF1E856}" name="solution_greedy"/>
    <tableColumn id="16" xr3:uid="{EA0ADEFC-DE8A-4579-B9B5-BEDA36B979BD}" name="optimal_greedy"/>
    <tableColumn id="17" xr3:uid="{CA14B9F8-4F9F-4642-BBCB-AF47ABFB37FA}" name="n_nodes"/>
    <tableColumn id="18" xr3:uid="{D1517992-9326-4582-A444-FC3A03373424}" name="solution_rollout k=1"/>
    <tableColumn id="19" xr3:uid="{FFF4E11F-4302-4D2E-B13C-595584149ABE}" name="time_taken k=1"/>
    <tableColumn id="20" xr3:uid="{DEB628BA-97D6-4C9F-98F1-169F8116AD07}" name="optimal_rollout k=1"/>
    <tableColumn id="21" xr3:uid="{D046A364-902A-40A5-9115-1FC9F1CE87E3}" name="solution_rollout k=2"/>
    <tableColumn id="22" xr3:uid="{82635759-4CDA-4117-88AB-C9AD7DB5C970}" name="time_taken k=2"/>
    <tableColumn id="23" xr3:uid="{40E7DA0C-8D95-43E0-9E8C-B6C85FDD6FFA}" name="optimal_rollout k=2"/>
    <tableColumn id="24" xr3:uid="{B2F546AA-2490-4A1C-B835-30EEA0993895}" name="solution_rollout k=3"/>
    <tableColumn id="25" xr3:uid="{CD44B255-CDD8-40B0-834B-EB713E143293}" name="time_taken k=3"/>
    <tableColumn id="26" xr3:uid="{791F2CE7-1D29-4F44-8DE3-CF96E90D0D82}" name="optimal_rollout k=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F90C87-38AC-4E8C-8066-E33B69930A0D}" name="Table2" displayName="Table2" ref="A1:I6" totalsRowShown="0" headerRowDxfId="29" headerRowBorderDxfId="31" tableBorderDxfId="32">
  <autoFilter ref="A1:I6" xr:uid="{6DF90C87-38AC-4E8C-8066-E33B69930A0D}"/>
  <tableColumns count="9">
    <tableColumn id="1" xr3:uid="{7ECCA130-DDD6-4827-9EC1-4446F82060BB}" name="Grado raíz" dataDxfId="30"/>
    <tableColumn id="11" xr3:uid="{85DEB75C-470D-4284-8984-9F9E13815390}" name="Greedy" dataDxfId="10">
      <calculatedColumnFormula>AVERAGEIF(Table1[root],Table2[[#This Row],[Grado raíz]],Table1[optimal_greedy])</calculatedColumnFormula>
    </tableColumn>
    <tableColumn id="3" xr3:uid="{A0B271CC-2A0D-4869-8EFE-899952E82FFB}" name="Prom. Nodos salvados óptimo IQCP" dataDxfId="24">
      <calculatedColumnFormula>AVERAGEIF(Table1[root],Table2[[#This Row],[Grado raíz]],Table1[optimal_iqcp])</calculatedColumnFormula>
    </tableColumn>
    <tableColumn id="4" xr3:uid="{41FC5F4F-3AEB-4C69-ABC6-06FD226137CD}" name="Prom. Nodos salvados Rollout k=1" dataDxfId="23">
      <calculatedColumnFormula>AVERAGEIF(Table1[root],Table2[[#This Row],[Grado raíz]],Table1[optimal_rollout k=1])</calculatedColumnFormula>
    </tableColumn>
    <tableColumn id="5" xr3:uid="{1552DE92-B08B-4A18-937D-90AC59949990}" name="Prom. Nodos salvados Rollout k=2" dataDxfId="22">
      <calculatedColumnFormula>AVERAGEIF(Table1[root],Table2[[#This Row],[Grado raíz]],Table1[optimal_rollout k=2])</calculatedColumnFormula>
    </tableColumn>
    <tableColumn id="6" xr3:uid="{922A44D5-72A6-4041-A856-D2A0D223E3B5}" name="Prom. Nodos salvados Rollout k=3" dataDxfId="21">
      <calculatedColumnFormula>AVERAGEIF(Table1[root],Table2[[#This Row],[Grado raíz]],Table1[optimal_rollout k=3])</calculatedColumnFormula>
    </tableColumn>
    <tableColumn id="7" xr3:uid="{7A454DC2-F7F7-46FC-8A9A-8111CA52BC35}" name="GAP Rollout k=1" dataDxfId="20">
      <calculatedColumnFormula>(Table2[[#This Row],[Prom. Nodos salvados óptimo IQCP]]-Table2[[#This Row],[Prom. Nodos salvados Rollout k=1]])/Table2[[#This Row],[Prom. Nodos salvados óptimo IQCP]]</calculatedColumnFormula>
    </tableColumn>
    <tableColumn id="8" xr3:uid="{C7527BF0-84A8-4A93-882A-D138C596E22A}" name="GAP Rollout k=2" dataDxfId="19">
      <calculatedColumnFormula>(Table2[[#This Row],[Prom. Nodos salvados óptimo IQCP]]-Table2[[#This Row],[Prom. Nodos salvados Rollout k=2]])/Table2[[#This Row],[Prom. Nodos salvados óptimo IQCP]]</calculatedColumnFormula>
    </tableColumn>
    <tableColumn id="9" xr3:uid="{D9AEBC95-34D2-40FD-8704-1A072B223699}" name="GAP Rollout k=3" dataDxfId="18">
      <calculatedColumnFormula>(Table2[[#This Row],[Prom. Nodos salvados óptimo IQCP]]-Table2[[#This Row],[Prom. Nodos salvados Rollout k=3]])/Table2[[#This Row],[Prom. Nodos salvados óptimo IQCP]]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F6628-FF88-4447-A1E0-88747A2553C7}" name="Table3" displayName="Table3" ref="A12:H17" totalsRowShown="0" headerRowDxfId="25" headerRowBorderDxfId="27" tableBorderDxfId="28">
  <autoFilter ref="A12:H17" xr:uid="{097F6628-FF88-4447-A1E0-88747A2553C7}"/>
  <tableColumns count="8">
    <tableColumn id="1" xr3:uid="{1257B372-E166-4DB8-847C-8948072FDD1A}" name="Grado raíz" dataDxfId="26"/>
    <tableColumn id="3" xr3:uid="{FEC54DE6-1F36-44CF-B49E-51073110B4EF}" name="Prom. T-CPU MIQCP" dataDxfId="17">
      <calculatedColumnFormula>AVERAGEIF(Table1[root],Table3[[#This Row],[Grado raíz]],Table1[duration_miqcp])</calculatedColumnFormula>
    </tableColumn>
    <tableColumn id="4" xr3:uid="{EEA1BEE5-E186-42AF-95EA-93F941F046E1}" name="Prom. T-CPU IQCP" dataDxfId="16">
      <calculatedColumnFormula>AVERAGEIF(Table1[root],Table3[[#This Row],[Grado raíz]],Table1[duration_iqcp])</calculatedColumnFormula>
    </tableColumn>
    <tableColumn id="5" xr3:uid="{3ECED2E6-7AEF-406D-A6E8-0C379AF7836A}" name="Prom. T-CPU ILP" dataDxfId="15">
      <calculatedColumnFormula>AVERAGEIF(Table1[root],Table3[[#This Row],[Grado raíz]],Table1[duration_ilp])</calculatedColumnFormula>
    </tableColumn>
    <tableColumn id="6" xr3:uid="{13A7B6F5-A454-469D-95DF-70B9AD5568BB}" name="Prom. T-CPU Rollout k=1" dataDxfId="14">
      <calculatedColumnFormula>AVERAGEIF(Table1[root],Table3[[#This Row],[Grado raíz]],Table1[time_taken k=1])</calculatedColumnFormula>
    </tableColumn>
    <tableColumn id="7" xr3:uid="{D4C89214-B073-41EC-B5C7-C3CE11B2171A}" name="Prom. T-CPU Rollout k=2" dataDxfId="13">
      <calculatedColumnFormula>AVERAGEIF(Table1[root],Table3[[#This Row],[Grado raíz]],Table1[time_taken k=2])</calculatedColumnFormula>
    </tableColumn>
    <tableColumn id="8" xr3:uid="{7FAF3522-99A4-4C51-9E5C-3B74C244239D}" name="Prom. T-CPU Rollout k=3" dataDxfId="12">
      <calculatedColumnFormula>AVERAGEIF(Table1[root],Table3[[#This Row],[Grado raíz]],Table1[time_taken k=3])</calculatedColumnFormula>
    </tableColumn>
    <tableColumn id="9" xr3:uid="{EB6C1177-4B32-423B-8FFA-C327C4670738}" name="Greedy" dataDxfId="11">
      <calculatedColumnFormula>AVERAGEIF(Table1[root],Table3[[#This Row],[Grado raíz]],Table1[duration_greedy])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55750C-7EE4-4EE8-998D-B0264302407D}" name="Table5" displayName="Table5" ref="A1:I6" totalsRowShown="0">
  <autoFilter ref="A1:I6" xr:uid="{9455750C-7EE4-4EE8-998D-B0264302407D}"/>
  <tableColumns count="9">
    <tableColumn id="1" xr3:uid="{30FE9021-1383-40BD-92ED-3C6135AE53F2}" name="Grado raíz"/>
    <tableColumn id="10" xr3:uid="{CF64D983-2DE5-4F2B-BFA7-2AA48883939F}" name="Prom. Nodos salvados óptimo IQCP"/>
    <tableColumn id="2" xr3:uid="{9E6ADE62-1B54-439F-8CD7-CEFD30A2ADD9}" name="Greedy"/>
    <tableColumn id="4" xr3:uid="{BE9B0CD8-55D3-4A72-A762-86B4C80AC852}" name="Prom. Nodos salvados Rollout k=1"/>
    <tableColumn id="5" xr3:uid="{7280CD3A-3605-4F39-BD19-C6451975523C}" name="Prom. Nodos salvados Rollout k=2"/>
    <tableColumn id="6" xr3:uid="{9F226CDC-E859-4359-B982-C3BF9F940CF3}" name="Prom. Nodos salvados Rollout k=3"/>
    <tableColumn id="7" xr3:uid="{16BB94DB-7994-4C51-A6A7-3FE6BF8F7E07}" name="GAP Rollout k=1" dataDxfId="9" dataCellStyle="Per cent"/>
    <tableColumn id="8" xr3:uid="{3FC303D3-EA87-4EE6-8953-ACFD6DC75104}" name="GAP Rollout k=2" dataDxfId="8" dataCellStyle="Per cent"/>
    <tableColumn id="9" xr3:uid="{05D5C16A-94FF-4BCE-A13D-B4582E62CCA5}" name="GAP Rollout k=3" dataDxfId="7" dataCellStyle="Per 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B24EE3-96EB-4EB8-B3A1-A673618257EE}" name="Table7" displayName="Table7" ref="A9:H14" totalsRowShown="0">
  <autoFilter ref="A9:H14" xr:uid="{66B24EE3-96EB-4EB8-B3A1-A673618257EE}"/>
  <tableColumns count="8">
    <tableColumn id="1" xr3:uid="{4C4AB695-2CFB-4438-B50E-B13B0568E76B}" name="Grado raíz"/>
    <tableColumn id="2" xr3:uid="{C1476F55-6184-457C-A556-8EAB62A92BF6}" name="Prom. T-CPU MIQCP" dataDxfId="6"/>
    <tableColumn id="3" xr3:uid="{0F112A56-B2A0-4873-A9BF-3E50E694EA2C}" name="Prom. T-CPU IQCP" dataDxfId="5"/>
    <tableColumn id="4" xr3:uid="{44698943-C9FD-4B46-B10D-46BB74414CB8}" name="Prom. T-CPU ILP" dataDxfId="4"/>
    <tableColumn id="9" xr3:uid="{D450F7CC-B5CB-4B4C-8276-12E887F61462}" name="Greedy" dataDxfId="3"/>
    <tableColumn id="5" xr3:uid="{CD0AAD32-E5B9-4773-BCF8-FD82A3FADF2B}" name="Prom. T-CPU Rollout k=1" dataDxfId="2"/>
    <tableColumn id="6" xr3:uid="{A373D5D7-2443-497E-8E0B-F59EF4408829}" name="Prom. T-CPU Rollout k=2" dataDxfId="1"/>
    <tableColumn id="7" xr3:uid="{1A590821-6AC4-4BA6-AD46-EEB5F993FE43}" name="Prom. T-CPU Rollout k=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583E-30F0-4623-8085-EF26421DFFF4}">
  <dimension ref="A1:AA51"/>
  <sheetViews>
    <sheetView tabSelected="1" workbookViewId="0">
      <selection activeCell="D16" sqref="D16"/>
    </sheetView>
  </sheetViews>
  <sheetFormatPr defaultRowHeight="14.5" x14ac:dyDescent="0.35"/>
  <cols>
    <col min="1" max="1" width="13.54296875" customWidth="1"/>
    <col min="2" max="2" width="13.81640625" customWidth="1"/>
    <col min="3" max="3" width="13.7265625" customWidth="1"/>
    <col min="4" max="4" width="13.1796875" customWidth="1"/>
    <col min="5" max="5" width="15.453125" customWidth="1"/>
    <col min="6" max="6" width="15.26953125" customWidth="1"/>
    <col min="7" max="7" width="14.7265625" customWidth="1"/>
    <col min="8" max="8" width="13.81640625" customWidth="1"/>
    <col min="9" max="9" width="28.453125" bestFit="1" customWidth="1"/>
    <col min="10" max="10" width="13.1796875" customWidth="1"/>
    <col min="11" max="11" width="17.1796875" customWidth="1"/>
    <col min="12" max="12" width="17" customWidth="1"/>
    <col min="13" max="13" width="16.453125" customWidth="1"/>
    <col min="14" max="14" width="17.7265625" customWidth="1"/>
    <col min="15" max="15" width="17.54296875" customWidth="1"/>
    <col min="16" max="16" width="17" customWidth="1"/>
    <col min="17" max="17" width="10.7265625" customWidth="1"/>
    <col min="18" max="18" width="21.54296875" bestFit="1" customWidth="1"/>
    <col min="19" max="19" width="16.54296875" customWidth="1"/>
    <col min="20" max="20" width="20.26953125" customWidth="1"/>
    <col min="21" max="21" width="22.54296875" bestFit="1" customWidth="1"/>
    <col min="22" max="22" width="16.54296875" customWidth="1"/>
    <col min="23" max="23" width="20.26953125" customWidth="1"/>
    <col min="24" max="24" width="22.54296875" bestFit="1" customWidth="1"/>
    <col min="25" max="25" width="16.54296875" customWidth="1"/>
    <col min="26" max="26" width="20.26953125" customWidth="1"/>
  </cols>
  <sheetData>
    <row r="1" spans="1:27" x14ac:dyDescent="0.35">
      <c r="A1" t="s">
        <v>0</v>
      </c>
      <c r="B1" t="s">
        <v>257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240</v>
      </c>
      <c r="J1" t="s">
        <v>238</v>
      </c>
      <c r="K1" t="s">
        <v>239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210</v>
      </c>
      <c r="T1" t="s">
        <v>212</v>
      </c>
      <c r="U1" t="s">
        <v>211</v>
      </c>
      <c r="V1" t="s">
        <v>227</v>
      </c>
      <c r="W1" t="s">
        <v>229</v>
      </c>
      <c r="X1" t="s">
        <v>228</v>
      </c>
      <c r="Y1" t="s">
        <v>241</v>
      </c>
      <c r="Z1" t="s">
        <v>237</v>
      </c>
      <c r="AA1" t="s">
        <v>236</v>
      </c>
    </row>
    <row r="2" spans="1:27" x14ac:dyDescent="0.35">
      <c r="A2">
        <v>1</v>
      </c>
      <c r="B2">
        <v>3</v>
      </c>
      <c r="C2">
        <v>41355.2283542156</v>
      </c>
      <c r="D2" t="s">
        <v>16</v>
      </c>
      <c r="E2">
        <v>36</v>
      </c>
      <c r="F2">
        <v>60.771632432937601</v>
      </c>
      <c r="G2" t="s">
        <v>16</v>
      </c>
      <c r="H2">
        <v>36</v>
      </c>
      <c r="I2">
        <v>270.91339325904801</v>
      </c>
      <c r="J2" t="s">
        <v>16</v>
      </c>
      <c r="K2">
        <v>36</v>
      </c>
      <c r="L2">
        <v>86400.129969119997</v>
      </c>
      <c r="O2">
        <v>5.8391094207763602E-3</v>
      </c>
      <c r="P2" t="s">
        <v>16</v>
      </c>
      <c r="Q2">
        <v>36</v>
      </c>
      <c r="R2">
        <v>40</v>
      </c>
      <c r="S2" t="s">
        <v>17</v>
      </c>
      <c r="T2">
        <v>0.32947918400009202</v>
      </c>
      <c r="U2">
        <v>36</v>
      </c>
      <c r="V2" t="s">
        <v>17</v>
      </c>
      <c r="W2">
        <v>3.94191441800012</v>
      </c>
      <c r="X2">
        <v>36</v>
      </c>
      <c r="Y2" t="s">
        <v>17</v>
      </c>
      <c r="Z2">
        <v>11.0907991600033</v>
      </c>
      <c r="AA2">
        <v>36</v>
      </c>
    </row>
    <row r="3" spans="1:27" x14ac:dyDescent="0.35">
      <c r="A3">
        <v>2</v>
      </c>
      <c r="B3">
        <v>3</v>
      </c>
      <c r="C3">
        <v>43866.964335918397</v>
      </c>
      <c r="D3" t="s">
        <v>18</v>
      </c>
      <c r="E3">
        <v>36</v>
      </c>
      <c r="F3">
        <v>57.756932735443101</v>
      </c>
      <c r="G3" t="s">
        <v>18</v>
      </c>
      <c r="H3">
        <v>36</v>
      </c>
      <c r="I3">
        <v>187.91967535018901</v>
      </c>
      <c r="J3" t="s">
        <v>18</v>
      </c>
      <c r="K3">
        <v>36</v>
      </c>
      <c r="L3">
        <v>86400.254833221406</v>
      </c>
      <c r="O3">
        <v>4.7655105590820304E-3</v>
      </c>
      <c r="P3" t="s">
        <v>18</v>
      </c>
      <c r="Q3">
        <v>36</v>
      </c>
      <c r="R3">
        <v>40</v>
      </c>
      <c r="S3" t="s">
        <v>19</v>
      </c>
      <c r="T3">
        <v>0.397073467999916</v>
      </c>
      <c r="U3">
        <v>36</v>
      </c>
      <c r="V3" t="s">
        <v>19</v>
      </c>
      <c r="W3">
        <v>5.6322055990003701</v>
      </c>
      <c r="X3">
        <v>36</v>
      </c>
      <c r="Y3" t="s">
        <v>19</v>
      </c>
      <c r="Z3">
        <v>9.9376720649997807</v>
      </c>
      <c r="AA3">
        <v>36</v>
      </c>
    </row>
    <row r="4" spans="1:27" x14ac:dyDescent="0.35">
      <c r="A4">
        <v>3</v>
      </c>
      <c r="B4">
        <v>3</v>
      </c>
      <c r="C4">
        <v>453.44278931617703</v>
      </c>
      <c r="D4" t="s">
        <v>20</v>
      </c>
      <c r="E4">
        <v>33</v>
      </c>
      <c r="F4">
        <v>47.695116281509399</v>
      </c>
      <c r="G4" t="s">
        <v>21</v>
      </c>
      <c r="H4">
        <v>33</v>
      </c>
      <c r="I4">
        <v>196.83315134048399</v>
      </c>
      <c r="J4" t="s">
        <v>22</v>
      </c>
      <c r="K4">
        <v>33</v>
      </c>
      <c r="L4">
        <v>86400.139185190201</v>
      </c>
      <c r="O4">
        <v>5.6414604187011701E-3</v>
      </c>
      <c r="P4" t="s">
        <v>23</v>
      </c>
      <c r="Q4">
        <v>31</v>
      </c>
      <c r="R4">
        <v>40</v>
      </c>
      <c r="S4" t="s">
        <v>24</v>
      </c>
      <c r="T4">
        <v>0.37904542099999999</v>
      </c>
      <c r="U4">
        <v>33</v>
      </c>
      <c r="V4" t="s">
        <v>24</v>
      </c>
      <c r="W4">
        <v>1.0835867760006199</v>
      </c>
      <c r="X4">
        <v>33</v>
      </c>
      <c r="Y4" t="s">
        <v>230</v>
      </c>
      <c r="Z4">
        <v>2.2588137320017201</v>
      </c>
      <c r="AA4">
        <v>33</v>
      </c>
    </row>
    <row r="5" spans="1:27" x14ac:dyDescent="0.35">
      <c r="A5">
        <v>4</v>
      </c>
      <c r="B5">
        <v>3</v>
      </c>
      <c r="C5">
        <v>396.46075916290198</v>
      </c>
      <c r="D5" t="s">
        <v>25</v>
      </c>
      <c r="E5">
        <v>36</v>
      </c>
      <c r="F5">
        <v>51.4951264858245</v>
      </c>
      <c r="G5" t="s">
        <v>26</v>
      </c>
      <c r="H5">
        <v>36</v>
      </c>
      <c r="I5">
        <v>215.09952902793799</v>
      </c>
      <c r="J5" t="s">
        <v>26</v>
      </c>
      <c r="K5">
        <v>36</v>
      </c>
      <c r="L5">
        <v>86400.1290633678</v>
      </c>
      <c r="O5">
        <v>5.5739879608154297E-3</v>
      </c>
      <c r="P5" t="s">
        <v>27</v>
      </c>
      <c r="Q5">
        <v>33</v>
      </c>
      <c r="R5">
        <v>40</v>
      </c>
      <c r="S5" t="s">
        <v>28</v>
      </c>
      <c r="T5">
        <v>0.38748146400007499</v>
      </c>
      <c r="U5">
        <v>36</v>
      </c>
      <c r="V5" t="s">
        <v>28</v>
      </c>
      <c r="W5">
        <v>1.6170077950000601</v>
      </c>
      <c r="X5">
        <v>36</v>
      </c>
      <c r="Y5" t="s">
        <v>28</v>
      </c>
      <c r="Z5">
        <v>1.7681996000028399</v>
      </c>
      <c r="AA5">
        <v>36</v>
      </c>
    </row>
    <row r="6" spans="1:27" x14ac:dyDescent="0.35">
      <c r="A6">
        <v>5</v>
      </c>
      <c r="B6">
        <v>3</v>
      </c>
      <c r="C6">
        <v>4296.8034508228302</v>
      </c>
      <c r="D6" t="s">
        <v>29</v>
      </c>
      <c r="E6">
        <v>34</v>
      </c>
      <c r="F6">
        <v>44.4875199794769</v>
      </c>
      <c r="G6" t="s">
        <v>29</v>
      </c>
      <c r="H6">
        <v>34</v>
      </c>
      <c r="I6">
        <v>188.74511742591801</v>
      </c>
      <c r="J6" t="s">
        <v>29</v>
      </c>
      <c r="K6">
        <v>34</v>
      </c>
      <c r="L6">
        <v>86400.489632844896</v>
      </c>
      <c r="O6">
        <v>5.0759315490722604E-3</v>
      </c>
      <c r="P6" t="s">
        <v>29</v>
      </c>
      <c r="Q6">
        <v>34</v>
      </c>
      <c r="R6">
        <v>40</v>
      </c>
      <c r="S6" t="s">
        <v>30</v>
      </c>
      <c r="T6">
        <v>0.67830245599998296</v>
      </c>
      <c r="U6">
        <v>34</v>
      </c>
      <c r="V6" t="s">
        <v>30</v>
      </c>
      <c r="W6">
        <v>2.4201189159994101</v>
      </c>
      <c r="X6">
        <v>34</v>
      </c>
      <c r="Y6" t="s">
        <v>30</v>
      </c>
      <c r="Z6">
        <v>2.6625565289978099</v>
      </c>
      <c r="AA6">
        <v>34</v>
      </c>
    </row>
    <row r="7" spans="1:27" x14ac:dyDescent="0.35">
      <c r="A7">
        <v>6</v>
      </c>
      <c r="B7">
        <v>3</v>
      </c>
      <c r="C7">
        <v>2946.5776097774501</v>
      </c>
      <c r="D7" t="s">
        <v>31</v>
      </c>
      <c r="E7">
        <v>36</v>
      </c>
      <c r="F7">
        <v>45.887658596038797</v>
      </c>
      <c r="G7" t="s">
        <v>32</v>
      </c>
      <c r="H7">
        <v>36</v>
      </c>
      <c r="I7">
        <v>111.08167362213101</v>
      </c>
      <c r="J7" t="s">
        <v>32</v>
      </c>
      <c r="K7">
        <v>36</v>
      </c>
      <c r="L7">
        <v>86400.133324861497</v>
      </c>
      <c r="O7">
        <v>4.7135353088378898E-3</v>
      </c>
      <c r="P7" t="s">
        <v>32</v>
      </c>
      <c r="Q7">
        <v>36</v>
      </c>
      <c r="R7">
        <v>40</v>
      </c>
      <c r="S7" t="s">
        <v>33</v>
      </c>
      <c r="T7">
        <v>1.0738597339998199</v>
      </c>
      <c r="U7">
        <v>36</v>
      </c>
      <c r="V7" t="s">
        <v>33</v>
      </c>
      <c r="W7">
        <v>6.2291824710000503</v>
      </c>
      <c r="X7">
        <v>36</v>
      </c>
      <c r="Y7" t="s">
        <v>33</v>
      </c>
      <c r="Z7">
        <v>12.4987078349986</v>
      </c>
      <c r="AA7">
        <v>36</v>
      </c>
    </row>
    <row r="8" spans="1:27" x14ac:dyDescent="0.35">
      <c r="A8">
        <v>7</v>
      </c>
      <c r="B8">
        <v>3</v>
      </c>
      <c r="C8">
        <v>1297.5956439971901</v>
      </c>
      <c r="D8" t="s">
        <v>34</v>
      </c>
      <c r="E8">
        <v>34</v>
      </c>
      <c r="F8">
        <v>77.707883358001695</v>
      </c>
      <c r="G8" t="s">
        <v>35</v>
      </c>
      <c r="H8">
        <v>34</v>
      </c>
      <c r="I8">
        <v>256.97025418281498</v>
      </c>
      <c r="J8" t="s">
        <v>35</v>
      </c>
      <c r="K8">
        <v>34</v>
      </c>
      <c r="L8">
        <v>86400.128589868502</v>
      </c>
      <c r="O8">
        <v>5.3551197052001901E-3</v>
      </c>
      <c r="P8" t="s">
        <v>36</v>
      </c>
      <c r="Q8">
        <v>29</v>
      </c>
      <c r="R8">
        <v>40</v>
      </c>
      <c r="S8" t="s">
        <v>37</v>
      </c>
      <c r="T8">
        <v>0.50045927700011805</v>
      </c>
      <c r="U8">
        <v>34</v>
      </c>
      <c r="V8" t="s">
        <v>37</v>
      </c>
      <c r="W8">
        <v>3.9423302899995099</v>
      </c>
      <c r="X8">
        <v>34</v>
      </c>
      <c r="Y8" t="s">
        <v>37</v>
      </c>
      <c r="Z8">
        <v>7.0397920709983701</v>
      </c>
      <c r="AA8">
        <v>34</v>
      </c>
    </row>
    <row r="9" spans="1:27" x14ac:dyDescent="0.35">
      <c r="A9">
        <v>8</v>
      </c>
      <c r="B9">
        <v>3</v>
      </c>
      <c r="C9">
        <v>362.63930082321099</v>
      </c>
      <c r="D9" t="s">
        <v>38</v>
      </c>
      <c r="E9">
        <v>33</v>
      </c>
      <c r="F9">
        <v>78.8139390945434</v>
      </c>
      <c r="G9" t="s">
        <v>38</v>
      </c>
      <c r="H9">
        <v>33</v>
      </c>
      <c r="I9">
        <v>297.10240054130497</v>
      </c>
      <c r="J9" t="s">
        <v>38</v>
      </c>
      <c r="K9">
        <v>33</v>
      </c>
      <c r="L9">
        <v>86400.132736921296</v>
      </c>
      <c r="O9">
        <v>4.8964023590087804E-3</v>
      </c>
      <c r="P9" t="s">
        <v>39</v>
      </c>
      <c r="Q9">
        <v>31</v>
      </c>
      <c r="R9">
        <v>40</v>
      </c>
      <c r="S9" t="s">
        <v>40</v>
      </c>
      <c r="T9">
        <v>0.46128966400010502</v>
      </c>
      <c r="U9">
        <v>33</v>
      </c>
      <c r="V9" t="s">
        <v>40</v>
      </c>
      <c r="W9">
        <v>0.94218033300057802</v>
      </c>
      <c r="X9">
        <v>33</v>
      </c>
      <c r="Y9" t="s">
        <v>40</v>
      </c>
      <c r="Z9">
        <v>1.2337920039972201</v>
      </c>
      <c r="AA9">
        <v>33</v>
      </c>
    </row>
    <row r="10" spans="1:27" x14ac:dyDescent="0.35">
      <c r="A10">
        <v>9</v>
      </c>
      <c r="B10">
        <v>3</v>
      </c>
      <c r="C10">
        <v>471.46557950973499</v>
      </c>
      <c r="D10" t="s">
        <v>41</v>
      </c>
      <c r="E10">
        <v>33</v>
      </c>
      <c r="F10">
        <v>77.797639846801701</v>
      </c>
      <c r="G10" t="s">
        <v>42</v>
      </c>
      <c r="H10">
        <v>33</v>
      </c>
      <c r="I10">
        <v>244.49754166603</v>
      </c>
      <c r="J10" t="s">
        <v>41</v>
      </c>
      <c r="K10">
        <v>33</v>
      </c>
      <c r="L10">
        <v>86400.1265144348</v>
      </c>
      <c r="O10">
        <v>4.8739910125732396E-3</v>
      </c>
      <c r="P10" t="s">
        <v>43</v>
      </c>
      <c r="Q10">
        <v>29</v>
      </c>
      <c r="R10">
        <v>40</v>
      </c>
      <c r="S10" t="s">
        <v>44</v>
      </c>
      <c r="T10">
        <v>0.51131992400019</v>
      </c>
      <c r="U10">
        <v>32</v>
      </c>
      <c r="V10" t="s">
        <v>213</v>
      </c>
      <c r="W10">
        <v>3.0247513859994699</v>
      </c>
      <c r="X10">
        <v>32</v>
      </c>
      <c r="Y10" t="s">
        <v>213</v>
      </c>
      <c r="Z10">
        <v>5.0250078690005404</v>
      </c>
      <c r="AA10">
        <v>32</v>
      </c>
    </row>
    <row r="11" spans="1:27" x14ac:dyDescent="0.35">
      <c r="A11">
        <v>10</v>
      </c>
      <c r="B11">
        <v>3</v>
      </c>
      <c r="C11">
        <v>434.91103124618502</v>
      </c>
      <c r="D11" t="s">
        <v>45</v>
      </c>
      <c r="E11">
        <v>36</v>
      </c>
      <c r="F11">
        <v>51.784494161605799</v>
      </c>
      <c r="G11" t="s">
        <v>46</v>
      </c>
      <c r="H11">
        <v>36</v>
      </c>
      <c r="I11">
        <v>268.26836252212502</v>
      </c>
      <c r="J11" t="s">
        <v>45</v>
      </c>
      <c r="K11">
        <v>36</v>
      </c>
      <c r="L11">
        <v>86400.137657165498</v>
      </c>
      <c r="O11">
        <v>5.3925514221191398E-3</v>
      </c>
      <c r="P11" t="s">
        <v>47</v>
      </c>
      <c r="Q11">
        <v>35</v>
      </c>
      <c r="R11">
        <v>40</v>
      </c>
      <c r="S11" t="s">
        <v>48</v>
      </c>
      <c r="T11">
        <v>0.40904918099999998</v>
      </c>
      <c r="U11">
        <v>36</v>
      </c>
      <c r="V11" t="s">
        <v>214</v>
      </c>
      <c r="W11">
        <v>3.70733217999986</v>
      </c>
      <c r="X11">
        <v>36</v>
      </c>
      <c r="Y11" t="s">
        <v>214</v>
      </c>
      <c r="Z11">
        <v>5.2614428929991801</v>
      </c>
      <c r="AA11">
        <v>36</v>
      </c>
    </row>
    <row r="12" spans="1:27" x14ac:dyDescent="0.35">
      <c r="A12">
        <v>11</v>
      </c>
      <c r="B12">
        <v>4</v>
      </c>
      <c r="C12">
        <v>236.19271969795199</v>
      </c>
      <c r="D12" t="s">
        <v>49</v>
      </c>
      <c r="E12">
        <v>33</v>
      </c>
      <c r="F12">
        <v>51.336097240447998</v>
      </c>
      <c r="G12" t="s">
        <v>50</v>
      </c>
      <c r="H12">
        <v>33</v>
      </c>
      <c r="I12">
        <v>230.964210748672</v>
      </c>
      <c r="J12" t="s">
        <v>49</v>
      </c>
      <c r="K12">
        <v>33</v>
      </c>
      <c r="L12">
        <v>86400.596881627993</v>
      </c>
      <c r="O12">
        <v>4.2402744293212804E-3</v>
      </c>
      <c r="P12" t="s">
        <v>49</v>
      </c>
      <c r="Q12">
        <v>33</v>
      </c>
      <c r="R12">
        <v>40</v>
      </c>
      <c r="S12" t="s">
        <v>51</v>
      </c>
      <c r="T12">
        <v>0.32831750099990098</v>
      </c>
      <c r="U12">
        <v>33</v>
      </c>
      <c r="V12" t="s">
        <v>51</v>
      </c>
      <c r="W12">
        <v>1.97612930499963</v>
      </c>
      <c r="X12">
        <v>33</v>
      </c>
      <c r="Y12" t="s">
        <v>51</v>
      </c>
      <c r="Z12">
        <v>4.5531806290018704</v>
      </c>
      <c r="AA12">
        <v>33</v>
      </c>
    </row>
    <row r="13" spans="1:27" x14ac:dyDescent="0.35">
      <c r="A13">
        <v>12</v>
      </c>
      <c r="B13">
        <v>4</v>
      </c>
      <c r="C13">
        <v>86400.874973535494</v>
      </c>
      <c r="F13">
        <v>70.089067459106403</v>
      </c>
      <c r="G13" t="s">
        <v>52</v>
      </c>
      <c r="H13">
        <v>38</v>
      </c>
      <c r="I13">
        <v>230.956568717956</v>
      </c>
      <c r="J13" t="s">
        <v>53</v>
      </c>
      <c r="K13">
        <v>38</v>
      </c>
      <c r="L13">
        <v>86400.140295505495</v>
      </c>
      <c r="O13">
        <v>5.2533149719238203E-3</v>
      </c>
      <c r="P13" t="s">
        <v>54</v>
      </c>
      <c r="Q13">
        <v>36</v>
      </c>
      <c r="R13">
        <v>40</v>
      </c>
      <c r="S13" t="s">
        <v>55</v>
      </c>
      <c r="T13">
        <v>1.02013908899994</v>
      </c>
      <c r="U13">
        <v>38</v>
      </c>
      <c r="V13" t="s">
        <v>215</v>
      </c>
      <c r="W13">
        <v>4.0276134400000903</v>
      </c>
      <c r="X13">
        <v>37</v>
      </c>
      <c r="Y13" t="s">
        <v>55</v>
      </c>
      <c r="Z13">
        <v>7.4973292999966299</v>
      </c>
      <c r="AA13">
        <v>38</v>
      </c>
    </row>
    <row r="14" spans="1:27" x14ac:dyDescent="0.35">
      <c r="A14">
        <v>13</v>
      </c>
      <c r="B14">
        <v>4</v>
      </c>
      <c r="C14">
        <v>58.451675891876199</v>
      </c>
      <c r="D14" t="s">
        <v>56</v>
      </c>
      <c r="E14">
        <v>32</v>
      </c>
      <c r="F14">
        <v>22.211640119552602</v>
      </c>
      <c r="G14" t="s">
        <v>57</v>
      </c>
      <c r="H14">
        <v>31.999999999999901</v>
      </c>
      <c r="I14">
        <v>173.92218637466399</v>
      </c>
      <c r="J14" t="s">
        <v>58</v>
      </c>
      <c r="K14">
        <v>32</v>
      </c>
      <c r="L14">
        <v>86400.126599073395</v>
      </c>
      <c r="O14">
        <v>4.5175552368164002E-3</v>
      </c>
      <c r="P14" t="s">
        <v>59</v>
      </c>
      <c r="Q14">
        <v>31</v>
      </c>
      <c r="R14">
        <v>40</v>
      </c>
      <c r="S14" t="s">
        <v>60</v>
      </c>
      <c r="T14">
        <v>0.51476440700002901</v>
      </c>
      <c r="U14">
        <v>31</v>
      </c>
      <c r="V14" t="s">
        <v>216</v>
      </c>
      <c r="W14">
        <v>2.3248380449995198</v>
      </c>
      <c r="X14">
        <v>32</v>
      </c>
      <c r="Y14" t="s">
        <v>216</v>
      </c>
      <c r="Z14">
        <v>3.1050497120013398</v>
      </c>
      <c r="AA14">
        <v>32</v>
      </c>
    </row>
    <row r="15" spans="1:27" x14ac:dyDescent="0.35">
      <c r="A15">
        <v>14</v>
      </c>
      <c r="B15">
        <v>4</v>
      </c>
      <c r="C15">
        <v>850.74028325080803</v>
      </c>
      <c r="D15" t="s">
        <v>61</v>
      </c>
      <c r="E15">
        <v>35</v>
      </c>
      <c r="F15">
        <v>88.225219011306706</v>
      </c>
      <c r="G15" t="s">
        <v>62</v>
      </c>
      <c r="H15">
        <v>35</v>
      </c>
      <c r="I15">
        <v>341.805687904357</v>
      </c>
      <c r="J15" t="s">
        <v>63</v>
      </c>
      <c r="K15">
        <v>35</v>
      </c>
      <c r="L15">
        <v>86400.125456094698</v>
      </c>
      <c r="O15">
        <v>5.1207542419433498E-3</v>
      </c>
      <c r="P15" t="s">
        <v>64</v>
      </c>
      <c r="Q15">
        <v>34</v>
      </c>
      <c r="R15">
        <v>40</v>
      </c>
      <c r="S15" t="s">
        <v>65</v>
      </c>
      <c r="T15">
        <v>0.40604395299988</v>
      </c>
      <c r="U15">
        <v>35</v>
      </c>
      <c r="V15" t="s">
        <v>217</v>
      </c>
      <c r="W15">
        <v>3.6978838609993501</v>
      </c>
      <c r="X15">
        <v>35</v>
      </c>
      <c r="Y15" t="s">
        <v>217</v>
      </c>
      <c r="Z15">
        <v>14.4546965439985</v>
      </c>
      <c r="AA15">
        <v>35</v>
      </c>
    </row>
    <row r="16" spans="1:27" x14ac:dyDescent="0.35">
      <c r="A16">
        <v>15</v>
      </c>
      <c r="B16">
        <v>4</v>
      </c>
      <c r="C16">
        <v>847.00700283050503</v>
      </c>
      <c r="D16" t="s">
        <v>66</v>
      </c>
      <c r="E16">
        <v>38</v>
      </c>
      <c r="F16">
        <v>58.091557264328003</v>
      </c>
      <c r="G16" t="s">
        <v>66</v>
      </c>
      <c r="H16">
        <v>38</v>
      </c>
      <c r="I16">
        <v>197.25004124641401</v>
      </c>
      <c r="J16" t="s">
        <v>66</v>
      </c>
      <c r="K16">
        <v>38</v>
      </c>
      <c r="L16">
        <v>86400.126175403595</v>
      </c>
      <c r="O16">
        <v>5.2807331085205E-3</v>
      </c>
      <c r="P16" t="s">
        <v>67</v>
      </c>
      <c r="Q16">
        <v>37</v>
      </c>
      <c r="R16">
        <v>40</v>
      </c>
      <c r="S16" t="s">
        <v>68</v>
      </c>
      <c r="T16">
        <v>0.55543062200013005</v>
      </c>
      <c r="U16">
        <v>37</v>
      </c>
      <c r="V16" t="s">
        <v>218</v>
      </c>
      <c r="W16">
        <v>4.3720036019994897</v>
      </c>
      <c r="X16">
        <v>38</v>
      </c>
      <c r="Y16" t="s">
        <v>218</v>
      </c>
      <c r="Z16">
        <v>7.4649007279986099</v>
      </c>
      <c r="AA16">
        <v>38</v>
      </c>
    </row>
    <row r="17" spans="1:27" x14ac:dyDescent="0.35">
      <c r="A17">
        <v>16</v>
      </c>
      <c r="B17">
        <v>4</v>
      </c>
      <c r="C17">
        <v>1160.6931722164099</v>
      </c>
      <c r="D17" t="s">
        <v>69</v>
      </c>
      <c r="E17">
        <v>36</v>
      </c>
      <c r="F17">
        <v>60.158497571945098</v>
      </c>
      <c r="G17" t="s">
        <v>70</v>
      </c>
      <c r="H17">
        <v>36</v>
      </c>
      <c r="I17">
        <v>220.47335624694799</v>
      </c>
      <c r="J17" t="s">
        <v>70</v>
      </c>
      <c r="K17">
        <v>36</v>
      </c>
      <c r="L17">
        <v>86400.164609908999</v>
      </c>
      <c r="O17">
        <v>5.1751136779785104E-3</v>
      </c>
      <c r="P17" t="s">
        <v>70</v>
      </c>
      <c r="Q17">
        <v>36</v>
      </c>
      <c r="R17">
        <v>40</v>
      </c>
      <c r="S17" t="s">
        <v>71</v>
      </c>
      <c r="T17">
        <v>0.30605519800019398</v>
      </c>
      <c r="U17">
        <v>36</v>
      </c>
      <c r="V17" t="s">
        <v>71</v>
      </c>
      <c r="W17">
        <v>1.6701909319999599</v>
      </c>
      <c r="X17">
        <v>36</v>
      </c>
      <c r="Y17" t="s">
        <v>71</v>
      </c>
      <c r="Z17">
        <v>1.8437965720004199</v>
      </c>
      <c r="AA17">
        <v>36</v>
      </c>
    </row>
    <row r="18" spans="1:27" x14ac:dyDescent="0.35">
      <c r="A18">
        <v>17</v>
      </c>
      <c r="B18">
        <v>4</v>
      </c>
      <c r="C18">
        <v>86400.324173450397</v>
      </c>
      <c r="F18">
        <v>76.000017881393404</v>
      </c>
      <c r="G18" t="s">
        <v>72</v>
      </c>
      <c r="H18">
        <v>39</v>
      </c>
      <c r="I18">
        <v>132.477592945098</v>
      </c>
      <c r="J18" t="s">
        <v>73</v>
      </c>
      <c r="K18">
        <v>39</v>
      </c>
      <c r="L18">
        <v>47.098084926605203</v>
      </c>
      <c r="M18" t="s">
        <v>74</v>
      </c>
      <c r="N18">
        <v>39</v>
      </c>
      <c r="O18">
        <v>6.5302848815917899E-3</v>
      </c>
      <c r="P18" t="s">
        <v>75</v>
      </c>
      <c r="Q18">
        <v>39</v>
      </c>
      <c r="R18">
        <v>40</v>
      </c>
      <c r="S18" t="s">
        <v>76</v>
      </c>
      <c r="T18">
        <v>0.49575486699995902</v>
      </c>
      <c r="U18">
        <v>39</v>
      </c>
      <c r="V18" t="s">
        <v>76</v>
      </c>
      <c r="W18">
        <v>2.9234940050000602</v>
      </c>
      <c r="X18">
        <v>39</v>
      </c>
      <c r="Y18" t="s">
        <v>76</v>
      </c>
      <c r="Z18">
        <v>9.9828756200004101</v>
      </c>
      <c r="AA18">
        <v>39</v>
      </c>
    </row>
    <row r="19" spans="1:27" x14ac:dyDescent="0.35">
      <c r="A19">
        <v>18</v>
      </c>
      <c r="B19">
        <v>4</v>
      </c>
      <c r="C19">
        <v>78285.793434858293</v>
      </c>
      <c r="D19" t="s">
        <v>77</v>
      </c>
      <c r="E19">
        <v>37</v>
      </c>
      <c r="F19">
        <v>77.328538656234699</v>
      </c>
      <c r="G19" t="s">
        <v>78</v>
      </c>
      <c r="H19">
        <v>37</v>
      </c>
      <c r="I19">
        <v>224.450894832611</v>
      </c>
      <c r="J19" t="s">
        <v>78</v>
      </c>
      <c r="K19">
        <v>37</v>
      </c>
      <c r="L19">
        <v>86400.140725135803</v>
      </c>
      <c r="O19">
        <v>5.2385330200195304E-3</v>
      </c>
      <c r="P19" t="s">
        <v>79</v>
      </c>
      <c r="Q19">
        <v>36</v>
      </c>
      <c r="R19">
        <v>40</v>
      </c>
      <c r="S19" t="s">
        <v>80</v>
      </c>
      <c r="T19">
        <v>0.69679235900002801</v>
      </c>
      <c r="U19">
        <v>37</v>
      </c>
      <c r="V19" t="s">
        <v>80</v>
      </c>
      <c r="W19">
        <v>4.3831602350001004</v>
      </c>
      <c r="X19">
        <v>37</v>
      </c>
      <c r="Y19" t="s">
        <v>80</v>
      </c>
      <c r="Z19">
        <v>8.7464961510013293</v>
      </c>
      <c r="AA19">
        <v>37</v>
      </c>
    </row>
    <row r="20" spans="1:27" x14ac:dyDescent="0.35">
      <c r="A20">
        <v>19</v>
      </c>
      <c r="B20">
        <v>4</v>
      </c>
      <c r="C20">
        <v>6526.2341415882102</v>
      </c>
      <c r="D20" t="s">
        <v>81</v>
      </c>
      <c r="E20">
        <v>35</v>
      </c>
      <c r="F20">
        <v>64.794146537780705</v>
      </c>
      <c r="G20" t="s">
        <v>82</v>
      </c>
      <c r="H20">
        <v>35</v>
      </c>
      <c r="I20">
        <v>234.16041851043701</v>
      </c>
      <c r="J20" t="s">
        <v>81</v>
      </c>
      <c r="K20">
        <v>35</v>
      </c>
      <c r="L20">
        <v>86400.141325473698</v>
      </c>
      <c r="O20">
        <v>4.3635368347167899E-3</v>
      </c>
      <c r="P20" t="s">
        <v>83</v>
      </c>
      <c r="Q20">
        <v>34</v>
      </c>
      <c r="R20">
        <v>40</v>
      </c>
      <c r="S20" t="s">
        <v>84</v>
      </c>
      <c r="T20">
        <v>0.92259901499983199</v>
      </c>
      <c r="U20">
        <v>35</v>
      </c>
      <c r="V20" t="s">
        <v>84</v>
      </c>
      <c r="W20">
        <v>5.2234213649999202</v>
      </c>
      <c r="X20">
        <v>35</v>
      </c>
      <c r="Y20" t="s">
        <v>84</v>
      </c>
      <c r="Z20">
        <v>9.2410724220026097</v>
      </c>
      <c r="AA20">
        <v>35</v>
      </c>
    </row>
    <row r="21" spans="1:27" x14ac:dyDescent="0.35">
      <c r="A21">
        <v>20</v>
      </c>
      <c r="B21">
        <v>4</v>
      </c>
      <c r="C21">
        <v>759.06535601615894</v>
      </c>
      <c r="D21" t="s">
        <v>85</v>
      </c>
      <c r="E21">
        <v>29</v>
      </c>
      <c r="F21">
        <v>912.31764340400696</v>
      </c>
      <c r="G21" t="s">
        <v>86</v>
      </c>
      <c r="H21">
        <v>29</v>
      </c>
      <c r="I21">
        <v>540.48723745346001</v>
      </c>
      <c r="J21" t="s">
        <v>87</v>
      </c>
      <c r="K21">
        <v>29</v>
      </c>
      <c r="L21">
        <v>86400.132619380907</v>
      </c>
      <c r="O21">
        <v>4.8832893371581997E-3</v>
      </c>
      <c r="P21" t="s">
        <v>88</v>
      </c>
      <c r="Q21">
        <v>28</v>
      </c>
      <c r="R21">
        <v>40</v>
      </c>
      <c r="S21" t="s">
        <v>89</v>
      </c>
      <c r="T21">
        <v>0.26128399100002703</v>
      </c>
      <c r="U21">
        <v>28</v>
      </c>
      <c r="V21" t="s">
        <v>89</v>
      </c>
      <c r="W21">
        <v>1.42399396600012</v>
      </c>
      <c r="X21">
        <v>28</v>
      </c>
      <c r="Y21" t="s">
        <v>89</v>
      </c>
      <c r="Z21">
        <v>1.6976262800017099</v>
      </c>
      <c r="AA21">
        <v>28</v>
      </c>
    </row>
    <row r="22" spans="1:27" x14ac:dyDescent="0.35">
      <c r="A22">
        <v>21</v>
      </c>
      <c r="B22">
        <v>5</v>
      </c>
      <c r="C22">
        <v>210.87740945816</v>
      </c>
      <c r="D22" t="s">
        <v>90</v>
      </c>
      <c r="E22">
        <v>31</v>
      </c>
      <c r="F22">
        <v>162.65208864211999</v>
      </c>
      <c r="G22" t="s">
        <v>90</v>
      </c>
      <c r="H22">
        <v>31</v>
      </c>
      <c r="I22">
        <v>318.648909568786</v>
      </c>
      <c r="J22" t="s">
        <v>91</v>
      </c>
      <c r="K22">
        <v>31</v>
      </c>
      <c r="L22">
        <v>86400.133867740602</v>
      </c>
      <c r="O22">
        <v>4.4388771057128898E-3</v>
      </c>
      <c r="P22" t="s">
        <v>92</v>
      </c>
      <c r="Q22">
        <v>29</v>
      </c>
      <c r="R22">
        <v>40</v>
      </c>
      <c r="S22" t="s">
        <v>93</v>
      </c>
      <c r="T22">
        <v>0.26452542099991599</v>
      </c>
      <c r="U22">
        <v>31</v>
      </c>
      <c r="V22" t="s">
        <v>93</v>
      </c>
      <c r="W22">
        <v>1.0734945450003499</v>
      </c>
      <c r="X22">
        <v>31</v>
      </c>
      <c r="Y22" t="s">
        <v>93</v>
      </c>
      <c r="Z22">
        <v>1.3942296439999999</v>
      </c>
      <c r="AA22">
        <v>31</v>
      </c>
    </row>
    <row r="23" spans="1:27" x14ac:dyDescent="0.35">
      <c r="A23">
        <v>22</v>
      </c>
      <c r="B23">
        <v>5</v>
      </c>
      <c r="C23">
        <v>7105.1666977405503</v>
      </c>
      <c r="D23" t="s">
        <v>94</v>
      </c>
      <c r="E23">
        <v>38</v>
      </c>
      <c r="F23">
        <v>57.698698759078901</v>
      </c>
      <c r="G23" t="s">
        <v>95</v>
      </c>
      <c r="H23">
        <v>38</v>
      </c>
      <c r="I23">
        <v>251.577482938766</v>
      </c>
      <c r="J23" t="s">
        <v>96</v>
      </c>
      <c r="K23">
        <v>38</v>
      </c>
      <c r="L23">
        <v>86400.135037422093</v>
      </c>
      <c r="O23">
        <v>5.1634311676025304E-3</v>
      </c>
      <c r="P23" t="s">
        <v>97</v>
      </c>
      <c r="Q23">
        <v>36</v>
      </c>
      <c r="R23">
        <v>40</v>
      </c>
      <c r="S23" t="s">
        <v>98</v>
      </c>
      <c r="T23">
        <v>0.53209869900001605</v>
      </c>
      <c r="U23">
        <v>37</v>
      </c>
      <c r="V23" t="s">
        <v>98</v>
      </c>
      <c r="W23">
        <v>5.4311040780003097</v>
      </c>
      <c r="X23">
        <v>37</v>
      </c>
      <c r="Y23" t="s">
        <v>231</v>
      </c>
      <c r="Z23">
        <v>21.947997172999699</v>
      </c>
      <c r="AA23">
        <v>38</v>
      </c>
    </row>
    <row r="24" spans="1:27" x14ac:dyDescent="0.35">
      <c r="A24">
        <v>23</v>
      </c>
      <c r="B24">
        <v>5</v>
      </c>
      <c r="C24">
        <v>729.35242557525601</v>
      </c>
      <c r="D24" t="s">
        <v>99</v>
      </c>
      <c r="E24">
        <v>38</v>
      </c>
      <c r="F24">
        <v>58.242346525192197</v>
      </c>
      <c r="G24" t="s">
        <v>100</v>
      </c>
      <c r="H24">
        <v>38</v>
      </c>
      <c r="I24">
        <v>291.66989302635102</v>
      </c>
      <c r="J24" t="s">
        <v>101</v>
      </c>
      <c r="K24">
        <v>38</v>
      </c>
      <c r="L24">
        <v>86400.160304784702</v>
      </c>
      <c r="O24">
        <v>5.1820278167724601E-3</v>
      </c>
      <c r="P24" t="s">
        <v>102</v>
      </c>
      <c r="Q24">
        <v>35</v>
      </c>
      <c r="R24">
        <v>40</v>
      </c>
      <c r="S24" t="s">
        <v>103</v>
      </c>
      <c r="T24">
        <v>0.66322177799997895</v>
      </c>
      <c r="U24">
        <v>36</v>
      </c>
      <c r="V24" t="s">
        <v>219</v>
      </c>
      <c r="W24">
        <v>6.8767605580005604</v>
      </c>
      <c r="X24">
        <v>36</v>
      </c>
      <c r="Y24" t="s">
        <v>232</v>
      </c>
      <c r="Z24">
        <v>22.323707160001501</v>
      </c>
      <c r="AA24">
        <v>38</v>
      </c>
    </row>
    <row r="25" spans="1:27" x14ac:dyDescent="0.35">
      <c r="A25">
        <v>24</v>
      </c>
      <c r="B25">
        <v>5</v>
      </c>
      <c r="C25">
        <v>158.90096259117101</v>
      </c>
      <c r="D25" t="s">
        <v>104</v>
      </c>
      <c r="E25">
        <v>34</v>
      </c>
      <c r="F25">
        <v>91.672548770904498</v>
      </c>
      <c r="G25" t="s">
        <v>105</v>
      </c>
      <c r="H25">
        <v>34</v>
      </c>
      <c r="I25">
        <v>319.44056868553099</v>
      </c>
      <c r="J25" t="s">
        <v>106</v>
      </c>
      <c r="K25">
        <v>34</v>
      </c>
      <c r="L25">
        <v>86400.131307125004</v>
      </c>
      <c r="O25">
        <v>5.7320594787597604E-3</v>
      </c>
      <c r="P25" t="s">
        <v>107</v>
      </c>
      <c r="Q25">
        <v>31</v>
      </c>
      <c r="R25">
        <v>40</v>
      </c>
      <c r="S25" t="s">
        <v>108</v>
      </c>
      <c r="T25">
        <v>0.33728040300002199</v>
      </c>
      <c r="U25">
        <v>34</v>
      </c>
      <c r="V25" t="s">
        <v>108</v>
      </c>
      <c r="W25">
        <v>3.40073298700008</v>
      </c>
      <c r="X25">
        <v>34</v>
      </c>
      <c r="Y25" t="s">
        <v>108</v>
      </c>
      <c r="Z25">
        <v>4.4836588859980102</v>
      </c>
      <c r="AA25">
        <v>34</v>
      </c>
    </row>
    <row r="26" spans="1:27" x14ac:dyDescent="0.35">
      <c r="A26">
        <v>25</v>
      </c>
      <c r="B26">
        <v>5</v>
      </c>
      <c r="C26">
        <v>2010.4343097209901</v>
      </c>
      <c r="D26" t="s">
        <v>109</v>
      </c>
      <c r="E26">
        <v>34</v>
      </c>
      <c r="F26">
        <v>65.932975530624304</v>
      </c>
      <c r="G26" t="s">
        <v>109</v>
      </c>
      <c r="H26">
        <v>34</v>
      </c>
      <c r="I26">
        <v>297.85724782943697</v>
      </c>
      <c r="J26" t="s">
        <v>109</v>
      </c>
      <c r="K26">
        <v>34</v>
      </c>
      <c r="L26">
        <v>34203.160275936098</v>
      </c>
      <c r="M26" t="s">
        <v>109</v>
      </c>
      <c r="N26">
        <v>34</v>
      </c>
      <c r="O26">
        <v>4.5621395111083898E-3</v>
      </c>
      <c r="P26" t="s">
        <v>109</v>
      </c>
      <c r="Q26">
        <v>34</v>
      </c>
      <c r="R26">
        <v>40</v>
      </c>
      <c r="S26" t="s">
        <v>110</v>
      </c>
      <c r="T26">
        <v>0.24927780999996599</v>
      </c>
      <c r="U26">
        <v>34</v>
      </c>
      <c r="V26" t="s">
        <v>110</v>
      </c>
      <c r="W26">
        <v>2.27347767099945</v>
      </c>
      <c r="X26">
        <v>34</v>
      </c>
      <c r="Y26" t="s">
        <v>110</v>
      </c>
      <c r="Z26">
        <v>2.548224811002</v>
      </c>
      <c r="AA26">
        <v>34</v>
      </c>
    </row>
    <row r="27" spans="1:27" x14ac:dyDescent="0.35">
      <c r="A27">
        <v>26</v>
      </c>
      <c r="B27">
        <v>5</v>
      </c>
      <c r="C27">
        <v>2330.9193391799899</v>
      </c>
      <c r="D27" t="s">
        <v>111</v>
      </c>
      <c r="E27">
        <v>38</v>
      </c>
      <c r="F27">
        <v>58.3836863040924</v>
      </c>
      <c r="G27" t="s">
        <v>112</v>
      </c>
      <c r="H27">
        <v>38</v>
      </c>
      <c r="I27">
        <v>181.586270332336</v>
      </c>
      <c r="J27" t="s">
        <v>111</v>
      </c>
      <c r="K27">
        <v>38</v>
      </c>
      <c r="L27">
        <v>86400.129125595093</v>
      </c>
      <c r="O27">
        <v>6.0391426086425703E-3</v>
      </c>
      <c r="P27" t="s">
        <v>113</v>
      </c>
      <c r="Q27">
        <v>34</v>
      </c>
      <c r="R27">
        <v>40</v>
      </c>
      <c r="S27" t="s">
        <v>114</v>
      </c>
      <c r="T27">
        <v>0.58409128599987503</v>
      </c>
      <c r="U27">
        <v>37</v>
      </c>
      <c r="V27" t="s">
        <v>220</v>
      </c>
      <c r="W27">
        <v>3.71118901799945</v>
      </c>
      <c r="X27">
        <v>37</v>
      </c>
      <c r="Y27" t="s">
        <v>233</v>
      </c>
      <c r="Z27">
        <v>10.283400188</v>
      </c>
      <c r="AA27">
        <v>38</v>
      </c>
    </row>
    <row r="28" spans="1:27" x14ac:dyDescent="0.35">
      <c r="A28">
        <v>27</v>
      </c>
      <c r="B28">
        <v>5</v>
      </c>
      <c r="C28">
        <v>1175.05269384384</v>
      </c>
      <c r="D28" t="s">
        <v>115</v>
      </c>
      <c r="E28">
        <v>36</v>
      </c>
      <c r="F28">
        <v>141.49965786933899</v>
      </c>
      <c r="G28" t="s">
        <v>116</v>
      </c>
      <c r="H28">
        <v>36</v>
      </c>
      <c r="I28">
        <v>477.19279837608298</v>
      </c>
      <c r="J28" t="s">
        <v>117</v>
      </c>
      <c r="K28">
        <v>36</v>
      </c>
      <c r="L28">
        <v>86400.130617856907</v>
      </c>
      <c r="O28">
        <v>5.4810047149658203E-3</v>
      </c>
      <c r="P28" t="s">
        <v>118</v>
      </c>
      <c r="Q28">
        <v>33</v>
      </c>
      <c r="R28">
        <v>40</v>
      </c>
      <c r="S28" t="s">
        <v>119</v>
      </c>
      <c r="T28">
        <v>0.35413694700014198</v>
      </c>
      <c r="U28">
        <v>35</v>
      </c>
      <c r="V28" t="s">
        <v>119</v>
      </c>
      <c r="W28">
        <v>3.4202232380002799</v>
      </c>
      <c r="X28">
        <v>35</v>
      </c>
      <c r="Y28" t="s">
        <v>119</v>
      </c>
      <c r="Z28">
        <v>9.12444181300088</v>
      </c>
      <c r="AA28">
        <v>35</v>
      </c>
    </row>
    <row r="29" spans="1:27" x14ac:dyDescent="0.35">
      <c r="A29">
        <v>28</v>
      </c>
      <c r="B29">
        <v>5</v>
      </c>
      <c r="C29">
        <v>147.89943647384601</v>
      </c>
      <c r="D29" t="s">
        <v>120</v>
      </c>
      <c r="E29">
        <v>33</v>
      </c>
      <c r="F29">
        <v>59.577576637268002</v>
      </c>
      <c r="G29" t="s">
        <v>120</v>
      </c>
      <c r="H29">
        <v>33</v>
      </c>
      <c r="I29">
        <v>278.319145917892</v>
      </c>
      <c r="J29" t="s">
        <v>120</v>
      </c>
      <c r="K29">
        <v>33</v>
      </c>
      <c r="L29">
        <v>86400.134596109303</v>
      </c>
      <c r="O29">
        <v>4.8899650573730399E-3</v>
      </c>
      <c r="P29" t="s">
        <v>121</v>
      </c>
      <c r="Q29">
        <v>31</v>
      </c>
      <c r="R29">
        <v>40</v>
      </c>
      <c r="S29" t="s">
        <v>122</v>
      </c>
      <c r="T29">
        <v>0.35580247699999701</v>
      </c>
      <c r="U29">
        <v>33</v>
      </c>
      <c r="V29" t="s">
        <v>122</v>
      </c>
      <c r="W29">
        <v>1.3709802590001301</v>
      </c>
      <c r="X29">
        <v>33</v>
      </c>
      <c r="Y29" t="s">
        <v>122</v>
      </c>
      <c r="Z29">
        <v>1.47012566800185</v>
      </c>
      <c r="AA29">
        <v>33</v>
      </c>
    </row>
    <row r="30" spans="1:27" x14ac:dyDescent="0.35">
      <c r="A30">
        <v>29</v>
      </c>
      <c r="B30">
        <v>5</v>
      </c>
      <c r="C30">
        <v>5.8123471736907897</v>
      </c>
      <c r="D30" t="s">
        <v>123</v>
      </c>
      <c r="E30">
        <v>33</v>
      </c>
      <c r="F30">
        <v>87.840272665023804</v>
      </c>
      <c r="G30" t="s">
        <v>124</v>
      </c>
      <c r="H30">
        <v>33</v>
      </c>
      <c r="I30">
        <v>317.97413492202702</v>
      </c>
      <c r="J30" t="s">
        <v>125</v>
      </c>
      <c r="K30">
        <v>33</v>
      </c>
      <c r="L30">
        <v>86400.127450704502</v>
      </c>
      <c r="O30">
        <v>5.0079822540283203E-3</v>
      </c>
      <c r="P30" t="s">
        <v>126</v>
      </c>
      <c r="Q30">
        <v>32</v>
      </c>
      <c r="R30">
        <v>40</v>
      </c>
      <c r="S30" t="s">
        <v>127</v>
      </c>
      <c r="T30">
        <v>0.21797263500002301</v>
      </c>
      <c r="U30">
        <v>32</v>
      </c>
      <c r="V30" t="s">
        <v>127</v>
      </c>
      <c r="W30">
        <v>0.76583844600008799</v>
      </c>
      <c r="X30">
        <v>32</v>
      </c>
      <c r="Y30" t="s">
        <v>127</v>
      </c>
      <c r="Z30">
        <v>0.76324663400009696</v>
      </c>
      <c r="AA30">
        <v>32</v>
      </c>
    </row>
    <row r="31" spans="1:27" x14ac:dyDescent="0.35">
      <c r="A31">
        <v>30</v>
      </c>
      <c r="B31">
        <v>5</v>
      </c>
      <c r="C31">
        <v>805.73928236961297</v>
      </c>
      <c r="D31" t="s">
        <v>128</v>
      </c>
      <c r="E31">
        <v>32</v>
      </c>
      <c r="F31">
        <v>58.891531467437702</v>
      </c>
      <c r="G31" t="s">
        <v>128</v>
      </c>
      <c r="H31">
        <v>32</v>
      </c>
      <c r="I31">
        <v>259.028136491775</v>
      </c>
      <c r="J31" t="s">
        <v>128</v>
      </c>
      <c r="K31">
        <v>32</v>
      </c>
      <c r="L31">
        <v>86400.1880934238</v>
      </c>
      <c r="O31">
        <v>4.7945976257324201E-3</v>
      </c>
      <c r="P31" t="s">
        <v>128</v>
      </c>
      <c r="Q31">
        <v>32</v>
      </c>
      <c r="R31">
        <v>40</v>
      </c>
      <c r="S31" t="s">
        <v>129</v>
      </c>
      <c r="T31">
        <v>0.33322170599990297</v>
      </c>
      <c r="U31">
        <v>32</v>
      </c>
      <c r="V31" t="s">
        <v>129</v>
      </c>
      <c r="W31">
        <v>3.0836209959998002</v>
      </c>
      <c r="X31">
        <v>32</v>
      </c>
      <c r="Y31" t="s">
        <v>129</v>
      </c>
      <c r="Z31">
        <v>5.09110279099695</v>
      </c>
      <c r="AA31">
        <v>32</v>
      </c>
    </row>
    <row r="32" spans="1:27" x14ac:dyDescent="0.35">
      <c r="A32">
        <v>31</v>
      </c>
      <c r="B32">
        <v>6</v>
      </c>
      <c r="C32">
        <v>1909.8805825710201</v>
      </c>
      <c r="D32" t="s">
        <v>130</v>
      </c>
      <c r="E32">
        <v>38</v>
      </c>
      <c r="F32">
        <v>52.664197683334301</v>
      </c>
      <c r="G32" t="s">
        <v>131</v>
      </c>
      <c r="H32">
        <v>38</v>
      </c>
      <c r="I32">
        <v>176.476865291595</v>
      </c>
      <c r="J32" t="s">
        <v>132</v>
      </c>
      <c r="K32">
        <v>38</v>
      </c>
      <c r="L32">
        <v>86400.145117759705</v>
      </c>
      <c r="O32">
        <v>6.1647891998290998E-3</v>
      </c>
      <c r="P32" t="s">
        <v>133</v>
      </c>
      <c r="Q32">
        <v>35</v>
      </c>
      <c r="R32">
        <v>40</v>
      </c>
      <c r="S32" t="s">
        <v>134</v>
      </c>
      <c r="T32">
        <v>0.64120495799988897</v>
      </c>
      <c r="U32">
        <v>38</v>
      </c>
      <c r="V32" t="s">
        <v>134</v>
      </c>
      <c r="W32">
        <v>6.6015620719999699</v>
      </c>
      <c r="X32">
        <v>38</v>
      </c>
      <c r="Y32" t="s">
        <v>234</v>
      </c>
      <c r="Z32">
        <v>33.661860989999603</v>
      </c>
      <c r="AA32">
        <v>38</v>
      </c>
    </row>
    <row r="33" spans="1:27" x14ac:dyDescent="0.35">
      <c r="A33">
        <v>32</v>
      </c>
      <c r="B33">
        <v>6</v>
      </c>
      <c r="C33">
        <v>907.86760544776905</v>
      </c>
      <c r="D33" t="s">
        <v>135</v>
      </c>
      <c r="E33">
        <v>34</v>
      </c>
      <c r="F33">
        <v>79.067918539047199</v>
      </c>
      <c r="G33" t="s">
        <v>136</v>
      </c>
      <c r="H33">
        <v>34</v>
      </c>
      <c r="I33">
        <v>293.41959142684902</v>
      </c>
      <c r="J33" t="s">
        <v>137</v>
      </c>
      <c r="K33">
        <v>34</v>
      </c>
      <c r="L33">
        <v>86400.082375526399</v>
      </c>
      <c r="O33">
        <v>6.0026645660400304E-3</v>
      </c>
      <c r="P33" t="s">
        <v>138</v>
      </c>
      <c r="Q33">
        <v>33</v>
      </c>
      <c r="R33">
        <v>40</v>
      </c>
      <c r="S33" t="s">
        <v>139</v>
      </c>
      <c r="T33">
        <v>0.50681856599999198</v>
      </c>
      <c r="U33">
        <v>34</v>
      </c>
      <c r="V33" t="s">
        <v>139</v>
      </c>
      <c r="W33">
        <v>2.4093096120004698</v>
      </c>
      <c r="X33">
        <v>34</v>
      </c>
      <c r="Y33" t="s">
        <v>139</v>
      </c>
      <c r="Z33">
        <v>2.7303854409983601</v>
      </c>
      <c r="AA33">
        <v>34</v>
      </c>
    </row>
    <row r="34" spans="1:27" x14ac:dyDescent="0.35">
      <c r="A34">
        <v>33</v>
      </c>
      <c r="B34">
        <v>6</v>
      </c>
      <c r="C34">
        <v>3774.74291229248</v>
      </c>
      <c r="D34" t="s">
        <v>140</v>
      </c>
      <c r="E34">
        <v>33</v>
      </c>
      <c r="F34">
        <v>100.92551684379499</v>
      </c>
      <c r="G34" t="s">
        <v>140</v>
      </c>
      <c r="H34">
        <v>33</v>
      </c>
      <c r="I34">
        <v>302.64456987380902</v>
      </c>
      <c r="J34" t="s">
        <v>141</v>
      </c>
      <c r="K34">
        <v>33</v>
      </c>
      <c r="L34">
        <v>86400.140103101701</v>
      </c>
      <c r="O34">
        <v>5.6214332580566398E-3</v>
      </c>
      <c r="P34" t="s">
        <v>142</v>
      </c>
      <c r="Q34">
        <v>32</v>
      </c>
      <c r="R34">
        <v>40</v>
      </c>
      <c r="S34" t="s">
        <v>143</v>
      </c>
      <c r="T34">
        <v>0.21668813099995499</v>
      </c>
      <c r="U34">
        <v>32</v>
      </c>
      <c r="V34" t="s">
        <v>221</v>
      </c>
      <c r="W34">
        <v>2.0034395640004701</v>
      </c>
      <c r="X34">
        <v>32</v>
      </c>
      <c r="Y34" t="s">
        <v>221</v>
      </c>
      <c r="Z34">
        <v>2.3845861139998301</v>
      </c>
      <c r="AA34">
        <v>32</v>
      </c>
    </row>
    <row r="35" spans="1:27" x14ac:dyDescent="0.35">
      <c r="A35">
        <v>34</v>
      </c>
      <c r="B35">
        <v>6</v>
      </c>
      <c r="C35">
        <v>1964.59009075164</v>
      </c>
      <c r="D35" t="s">
        <v>144</v>
      </c>
      <c r="E35">
        <v>34</v>
      </c>
      <c r="F35">
        <v>136.314377784729</v>
      </c>
      <c r="G35" t="s">
        <v>145</v>
      </c>
      <c r="H35">
        <v>34</v>
      </c>
      <c r="I35">
        <v>394.49784350395203</v>
      </c>
      <c r="J35" t="s">
        <v>145</v>
      </c>
      <c r="K35">
        <v>34</v>
      </c>
      <c r="L35">
        <v>86400.115904331207</v>
      </c>
      <c r="O35">
        <v>5.6524276733398403E-3</v>
      </c>
      <c r="P35" t="s">
        <v>146</v>
      </c>
      <c r="Q35">
        <v>33</v>
      </c>
      <c r="R35">
        <v>40</v>
      </c>
      <c r="S35" t="s">
        <v>147</v>
      </c>
      <c r="T35">
        <v>0.24679671700005201</v>
      </c>
      <c r="U35">
        <v>34</v>
      </c>
      <c r="V35" t="s">
        <v>147</v>
      </c>
      <c r="W35">
        <v>3.77508114100055</v>
      </c>
      <c r="X35">
        <v>34</v>
      </c>
      <c r="Y35" t="s">
        <v>147</v>
      </c>
      <c r="Z35">
        <v>6.1460980370029503</v>
      </c>
      <c r="AA35">
        <v>34</v>
      </c>
    </row>
    <row r="36" spans="1:27" x14ac:dyDescent="0.35">
      <c r="A36">
        <v>35</v>
      </c>
      <c r="B36">
        <v>6</v>
      </c>
      <c r="C36">
        <v>98.0358052253723</v>
      </c>
      <c r="D36" t="s">
        <v>148</v>
      </c>
      <c r="E36">
        <v>26</v>
      </c>
      <c r="F36">
        <v>1499.5055146217301</v>
      </c>
      <c r="G36" t="s">
        <v>149</v>
      </c>
      <c r="H36">
        <v>26</v>
      </c>
      <c r="I36">
        <v>453.13620591163601</v>
      </c>
      <c r="J36" t="s">
        <v>149</v>
      </c>
      <c r="K36">
        <v>26</v>
      </c>
      <c r="L36">
        <v>86400.137974739002</v>
      </c>
      <c r="O36">
        <v>5.1372051239013602E-3</v>
      </c>
      <c r="P36" t="s">
        <v>150</v>
      </c>
      <c r="Q36">
        <v>24</v>
      </c>
      <c r="R36">
        <v>40</v>
      </c>
      <c r="S36" t="s">
        <v>151</v>
      </c>
      <c r="T36">
        <v>0.27837685899998998</v>
      </c>
      <c r="U36">
        <v>25</v>
      </c>
      <c r="V36" t="s">
        <v>151</v>
      </c>
      <c r="W36">
        <v>1.17122840199954</v>
      </c>
      <c r="X36">
        <v>25</v>
      </c>
      <c r="Y36" t="s">
        <v>151</v>
      </c>
      <c r="Z36">
        <v>1.5252734030000199</v>
      </c>
      <c r="AA36">
        <v>25</v>
      </c>
    </row>
    <row r="37" spans="1:27" x14ac:dyDescent="0.35">
      <c r="A37">
        <v>36</v>
      </c>
      <c r="B37">
        <v>6</v>
      </c>
      <c r="C37">
        <v>340.20367479324301</v>
      </c>
      <c r="D37" t="s">
        <v>152</v>
      </c>
      <c r="E37">
        <v>31</v>
      </c>
      <c r="F37">
        <v>59.518777132034302</v>
      </c>
      <c r="G37" t="s">
        <v>152</v>
      </c>
      <c r="H37">
        <v>31</v>
      </c>
      <c r="I37">
        <v>248.66281890869101</v>
      </c>
      <c r="J37" t="s">
        <v>153</v>
      </c>
      <c r="K37">
        <v>31</v>
      </c>
      <c r="L37">
        <v>86400.133429527195</v>
      </c>
      <c r="O37">
        <v>4.7066211700439401E-3</v>
      </c>
      <c r="P37" t="s">
        <v>153</v>
      </c>
      <c r="Q37">
        <v>31</v>
      </c>
      <c r="R37">
        <v>40</v>
      </c>
      <c r="S37" t="s">
        <v>154</v>
      </c>
      <c r="T37">
        <v>0.21965419499997499</v>
      </c>
      <c r="U37">
        <v>31</v>
      </c>
      <c r="V37" t="s">
        <v>154</v>
      </c>
      <c r="W37">
        <v>0.29924160400059902</v>
      </c>
      <c r="X37">
        <v>31</v>
      </c>
      <c r="Y37" t="s">
        <v>154</v>
      </c>
      <c r="Z37">
        <v>0.344867935000365</v>
      </c>
      <c r="AA37">
        <v>31</v>
      </c>
    </row>
    <row r="38" spans="1:27" x14ac:dyDescent="0.35">
      <c r="A38">
        <v>37</v>
      </c>
      <c r="B38">
        <v>6</v>
      </c>
      <c r="C38">
        <v>31.145901679992601</v>
      </c>
      <c r="D38" t="s">
        <v>155</v>
      </c>
      <c r="E38">
        <v>31</v>
      </c>
      <c r="F38">
        <v>320.65396547317499</v>
      </c>
      <c r="G38" t="s">
        <v>156</v>
      </c>
      <c r="H38">
        <v>31</v>
      </c>
      <c r="I38">
        <v>293.428564310073</v>
      </c>
      <c r="J38" t="s">
        <v>156</v>
      </c>
      <c r="K38">
        <v>31</v>
      </c>
      <c r="L38">
        <v>86400.134007453904</v>
      </c>
      <c r="O38">
        <v>6.2503814697265599E-3</v>
      </c>
      <c r="P38" t="s">
        <v>157</v>
      </c>
      <c r="Q38">
        <v>26</v>
      </c>
      <c r="R38">
        <v>40</v>
      </c>
      <c r="S38" t="s">
        <v>158</v>
      </c>
      <c r="T38">
        <v>0.43915323800001699</v>
      </c>
      <c r="U38">
        <v>31</v>
      </c>
      <c r="V38" t="s">
        <v>158</v>
      </c>
      <c r="W38">
        <v>2.6677951359997598</v>
      </c>
      <c r="X38">
        <v>31</v>
      </c>
      <c r="Y38" t="s">
        <v>158</v>
      </c>
      <c r="Z38">
        <v>3.22594257299715</v>
      </c>
      <c r="AA38">
        <v>31</v>
      </c>
    </row>
    <row r="39" spans="1:27" x14ac:dyDescent="0.35">
      <c r="A39">
        <v>38</v>
      </c>
      <c r="B39">
        <v>6</v>
      </c>
      <c r="C39">
        <v>4.9631543159484801</v>
      </c>
      <c r="D39" t="s">
        <v>159</v>
      </c>
      <c r="E39">
        <v>25</v>
      </c>
      <c r="F39">
        <v>6913.6652741432099</v>
      </c>
      <c r="G39" t="s">
        <v>160</v>
      </c>
      <c r="H39">
        <v>25</v>
      </c>
      <c r="I39">
        <v>546.080072641372</v>
      </c>
      <c r="J39" t="s">
        <v>161</v>
      </c>
      <c r="K39">
        <v>25</v>
      </c>
      <c r="L39">
        <v>86400.127148866595</v>
      </c>
      <c r="O39">
        <v>5.1782131195068299E-3</v>
      </c>
      <c r="P39" t="s">
        <v>162</v>
      </c>
      <c r="Q39">
        <v>14</v>
      </c>
      <c r="R39">
        <v>40</v>
      </c>
      <c r="S39" t="s">
        <v>163</v>
      </c>
      <c r="T39">
        <v>0.26292130699994198</v>
      </c>
      <c r="U39">
        <v>25</v>
      </c>
      <c r="V39" t="s">
        <v>163</v>
      </c>
      <c r="W39">
        <v>1.5493834219996601</v>
      </c>
      <c r="X39">
        <v>25</v>
      </c>
      <c r="Y39" t="s">
        <v>163</v>
      </c>
      <c r="Z39">
        <v>2.2965890949999399</v>
      </c>
      <c r="AA39">
        <v>25</v>
      </c>
    </row>
    <row r="40" spans="1:27" x14ac:dyDescent="0.35">
      <c r="A40">
        <v>39</v>
      </c>
      <c r="B40">
        <v>6</v>
      </c>
      <c r="C40">
        <v>79.188139438629094</v>
      </c>
      <c r="D40" t="s">
        <v>164</v>
      </c>
      <c r="E40">
        <v>29</v>
      </c>
      <c r="F40">
        <v>610.82811737060501</v>
      </c>
      <c r="G40" t="s">
        <v>165</v>
      </c>
      <c r="H40">
        <v>29</v>
      </c>
      <c r="I40">
        <v>276.89593887329102</v>
      </c>
      <c r="J40" t="s">
        <v>165</v>
      </c>
      <c r="K40">
        <v>29</v>
      </c>
      <c r="L40">
        <v>86400.126035213398</v>
      </c>
      <c r="O40">
        <v>6.1039924621581997E-3</v>
      </c>
      <c r="P40" t="s">
        <v>165</v>
      </c>
      <c r="Q40">
        <v>29</v>
      </c>
      <c r="R40">
        <v>40</v>
      </c>
      <c r="S40" t="s">
        <v>166</v>
      </c>
      <c r="T40">
        <v>0.257221596999897</v>
      </c>
      <c r="U40">
        <v>29</v>
      </c>
      <c r="V40" t="s">
        <v>166</v>
      </c>
      <c r="W40">
        <v>1.7992942900000299</v>
      </c>
      <c r="X40">
        <v>29</v>
      </c>
      <c r="Y40" t="s">
        <v>166</v>
      </c>
      <c r="Z40">
        <v>2.2100352369998202</v>
      </c>
      <c r="AA40">
        <v>29</v>
      </c>
    </row>
    <row r="41" spans="1:27" x14ac:dyDescent="0.35">
      <c r="A41">
        <v>40</v>
      </c>
      <c r="B41">
        <v>6</v>
      </c>
      <c r="C41">
        <v>922.62835550308205</v>
      </c>
      <c r="D41" t="s">
        <v>167</v>
      </c>
      <c r="E41">
        <v>33</v>
      </c>
      <c r="F41">
        <v>280.592938423156</v>
      </c>
      <c r="G41" t="s">
        <v>167</v>
      </c>
      <c r="H41">
        <v>33</v>
      </c>
      <c r="I41">
        <v>412.89148020744301</v>
      </c>
      <c r="J41" t="s">
        <v>167</v>
      </c>
      <c r="K41">
        <v>33</v>
      </c>
      <c r="L41">
        <v>86400.128802537904</v>
      </c>
      <c r="O41">
        <v>5.1181316375732396E-3</v>
      </c>
      <c r="P41" t="s">
        <v>168</v>
      </c>
      <c r="Q41">
        <v>30</v>
      </c>
      <c r="R41">
        <v>40</v>
      </c>
      <c r="S41" t="s">
        <v>169</v>
      </c>
      <c r="T41">
        <v>0.23861552500011299</v>
      </c>
      <c r="U41">
        <v>32</v>
      </c>
      <c r="V41" t="s">
        <v>169</v>
      </c>
      <c r="W41">
        <v>3.0757520170000099</v>
      </c>
      <c r="X41">
        <v>32</v>
      </c>
      <c r="Y41" t="s">
        <v>169</v>
      </c>
      <c r="Z41">
        <v>11.4139641930014</v>
      </c>
      <c r="AA41">
        <v>32</v>
      </c>
    </row>
    <row r="42" spans="1:27" x14ac:dyDescent="0.35">
      <c r="A42">
        <v>41</v>
      </c>
      <c r="B42">
        <v>7</v>
      </c>
      <c r="C42">
        <v>712.73984003067005</v>
      </c>
      <c r="D42" t="s">
        <v>170</v>
      </c>
      <c r="E42">
        <v>28</v>
      </c>
      <c r="F42">
        <v>1518.63394331932</v>
      </c>
      <c r="G42" t="s">
        <v>171</v>
      </c>
      <c r="H42">
        <v>28</v>
      </c>
      <c r="I42">
        <v>707.79996132850601</v>
      </c>
      <c r="J42" t="s">
        <v>172</v>
      </c>
      <c r="K42">
        <v>28</v>
      </c>
      <c r="L42">
        <v>86400.211915969805</v>
      </c>
      <c r="O42">
        <v>5.31005859375E-3</v>
      </c>
      <c r="P42" t="s">
        <v>173</v>
      </c>
      <c r="Q42">
        <v>26</v>
      </c>
      <c r="R42">
        <v>40</v>
      </c>
      <c r="S42" t="s">
        <v>174</v>
      </c>
      <c r="T42">
        <v>0.35698768399993203</v>
      </c>
      <c r="U42">
        <v>27</v>
      </c>
      <c r="V42" t="s">
        <v>222</v>
      </c>
      <c r="W42">
        <v>2.90378133400008</v>
      </c>
      <c r="X42">
        <v>27</v>
      </c>
      <c r="Y42" t="s">
        <v>222</v>
      </c>
      <c r="Z42">
        <v>5.6154071470009503</v>
      </c>
      <c r="AA42">
        <v>27</v>
      </c>
    </row>
    <row r="43" spans="1:27" x14ac:dyDescent="0.35">
      <c r="A43">
        <v>42</v>
      </c>
      <c r="B43">
        <v>7</v>
      </c>
      <c r="C43">
        <v>5505.72230434417</v>
      </c>
      <c r="D43" t="s">
        <v>175</v>
      </c>
      <c r="E43">
        <v>35</v>
      </c>
      <c r="F43">
        <v>580.17795109748795</v>
      </c>
      <c r="G43" t="s">
        <v>175</v>
      </c>
      <c r="H43">
        <v>35</v>
      </c>
      <c r="I43">
        <v>479.90765690803499</v>
      </c>
      <c r="J43" t="s">
        <v>176</v>
      </c>
      <c r="K43">
        <v>35</v>
      </c>
      <c r="L43">
        <v>86400.134572505907</v>
      </c>
      <c r="O43">
        <v>5.4419040679931597E-3</v>
      </c>
      <c r="P43" t="s">
        <v>177</v>
      </c>
      <c r="Q43">
        <v>32</v>
      </c>
      <c r="R43">
        <v>40</v>
      </c>
      <c r="S43" t="s">
        <v>178</v>
      </c>
      <c r="T43">
        <v>0.33055286099988701</v>
      </c>
      <c r="U43">
        <v>34</v>
      </c>
      <c r="V43" t="s">
        <v>223</v>
      </c>
      <c r="W43">
        <v>2.1577737999996298</v>
      </c>
      <c r="X43">
        <v>33</v>
      </c>
      <c r="Y43" t="s">
        <v>178</v>
      </c>
      <c r="Z43">
        <v>11.4665534910018</v>
      </c>
      <c r="AA43">
        <v>34</v>
      </c>
    </row>
    <row r="44" spans="1:27" x14ac:dyDescent="0.35">
      <c r="A44">
        <v>43</v>
      </c>
      <c r="B44">
        <v>7</v>
      </c>
      <c r="C44">
        <v>640.21524930000305</v>
      </c>
      <c r="D44" t="s">
        <v>179</v>
      </c>
      <c r="E44">
        <v>33</v>
      </c>
      <c r="F44">
        <v>320.01122188568098</v>
      </c>
      <c r="G44" t="s">
        <v>179</v>
      </c>
      <c r="H44">
        <v>33</v>
      </c>
      <c r="I44">
        <v>466.90860319137499</v>
      </c>
      <c r="J44" t="s">
        <v>179</v>
      </c>
      <c r="K44">
        <v>33</v>
      </c>
      <c r="L44">
        <v>86400.131663084001</v>
      </c>
      <c r="O44">
        <v>5.6045055389404297E-3</v>
      </c>
      <c r="P44" t="s">
        <v>180</v>
      </c>
      <c r="Q44">
        <v>30</v>
      </c>
      <c r="R44">
        <v>40</v>
      </c>
      <c r="S44" t="s">
        <v>181</v>
      </c>
      <c r="T44">
        <v>0.46214166499998999</v>
      </c>
      <c r="U44">
        <v>32</v>
      </c>
      <c r="V44" t="s">
        <v>224</v>
      </c>
      <c r="W44">
        <v>2.6963133250001099</v>
      </c>
      <c r="X44">
        <v>33</v>
      </c>
      <c r="Y44" t="s">
        <v>224</v>
      </c>
      <c r="Z44">
        <v>4.5286956169984398</v>
      </c>
      <c r="AA44">
        <v>33</v>
      </c>
    </row>
    <row r="45" spans="1:27" x14ac:dyDescent="0.35">
      <c r="A45">
        <v>44</v>
      </c>
      <c r="B45">
        <v>7</v>
      </c>
      <c r="C45">
        <v>271.16198706626801</v>
      </c>
      <c r="D45" t="s">
        <v>182</v>
      </c>
      <c r="E45">
        <v>32</v>
      </c>
      <c r="F45">
        <v>94.3208456039428</v>
      </c>
      <c r="G45" t="s">
        <v>182</v>
      </c>
      <c r="H45">
        <v>32</v>
      </c>
      <c r="I45">
        <v>332.61604619026099</v>
      </c>
      <c r="J45" t="s">
        <v>182</v>
      </c>
      <c r="K45">
        <v>32</v>
      </c>
      <c r="L45">
        <v>86400.134548902497</v>
      </c>
      <c r="O45">
        <v>4.8720836639404297E-3</v>
      </c>
      <c r="P45" t="s">
        <v>182</v>
      </c>
      <c r="Q45">
        <v>32</v>
      </c>
      <c r="R45">
        <v>40</v>
      </c>
      <c r="S45" t="s">
        <v>183</v>
      </c>
      <c r="T45">
        <v>0.289557128000069</v>
      </c>
      <c r="U45">
        <v>32</v>
      </c>
      <c r="V45" t="s">
        <v>183</v>
      </c>
      <c r="W45">
        <v>2.0520706749994102</v>
      </c>
      <c r="X45">
        <v>32</v>
      </c>
      <c r="Y45" t="s">
        <v>183</v>
      </c>
      <c r="Z45">
        <v>5.5421878640008799</v>
      </c>
      <c r="AA45">
        <v>32</v>
      </c>
    </row>
    <row r="46" spans="1:27" x14ac:dyDescent="0.35">
      <c r="A46">
        <v>45</v>
      </c>
      <c r="B46">
        <v>7</v>
      </c>
      <c r="C46">
        <v>291.48174500465302</v>
      </c>
      <c r="D46" t="s">
        <v>184</v>
      </c>
      <c r="E46">
        <v>29</v>
      </c>
      <c r="F46">
        <v>213.53333497047399</v>
      </c>
      <c r="G46" t="s">
        <v>185</v>
      </c>
      <c r="H46">
        <v>29</v>
      </c>
      <c r="I46">
        <v>478.408534049987</v>
      </c>
      <c r="J46" t="s">
        <v>186</v>
      </c>
      <c r="K46">
        <v>29</v>
      </c>
      <c r="L46">
        <v>86400.129339218096</v>
      </c>
      <c r="O46">
        <v>5.0356388092040998E-3</v>
      </c>
      <c r="P46" t="s">
        <v>187</v>
      </c>
      <c r="Q46">
        <v>24</v>
      </c>
      <c r="R46">
        <v>40</v>
      </c>
      <c r="S46" t="s">
        <v>188</v>
      </c>
      <c r="T46">
        <v>0.35976657499986597</v>
      </c>
      <c r="U46">
        <v>29</v>
      </c>
      <c r="V46" t="s">
        <v>188</v>
      </c>
      <c r="W46">
        <v>1.54041738000069</v>
      </c>
      <c r="X46">
        <v>29</v>
      </c>
      <c r="Y46" t="s">
        <v>188</v>
      </c>
      <c r="Z46">
        <v>2.0986153119993101</v>
      </c>
      <c r="AA46">
        <v>29</v>
      </c>
    </row>
    <row r="47" spans="1:27" x14ac:dyDescent="0.35">
      <c r="A47">
        <v>46</v>
      </c>
      <c r="B47">
        <v>7</v>
      </c>
      <c r="C47">
        <v>50.2884037494659</v>
      </c>
      <c r="D47" t="s">
        <v>189</v>
      </c>
      <c r="E47">
        <v>35</v>
      </c>
      <c r="F47">
        <v>89.7342205047607</v>
      </c>
      <c r="G47" t="s">
        <v>190</v>
      </c>
      <c r="H47">
        <v>35</v>
      </c>
      <c r="I47">
        <v>544.07556653022698</v>
      </c>
      <c r="J47" t="s">
        <v>189</v>
      </c>
      <c r="K47">
        <v>35</v>
      </c>
      <c r="L47">
        <v>86400.1261193752</v>
      </c>
      <c r="O47">
        <v>5.8310031890869097E-3</v>
      </c>
      <c r="P47" t="s">
        <v>191</v>
      </c>
      <c r="Q47">
        <v>33</v>
      </c>
      <c r="R47">
        <v>40</v>
      </c>
      <c r="S47" t="s">
        <v>192</v>
      </c>
      <c r="T47">
        <v>0.377706815999999</v>
      </c>
      <c r="U47">
        <v>33</v>
      </c>
      <c r="V47" t="s">
        <v>225</v>
      </c>
      <c r="W47">
        <v>4.7512340269995503</v>
      </c>
      <c r="X47">
        <v>35</v>
      </c>
      <c r="Y47" t="s">
        <v>225</v>
      </c>
      <c r="Z47">
        <v>14.7158929110009</v>
      </c>
      <c r="AA47">
        <v>35</v>
      </c>
    </row>
    <row r="48" spans="1:27" x14ac:dyDescent="0.35">
      <c r="A48">
        <v>47</v>
      </c>
      <c r="B48">
        <v>7</v>
      </c>
      <c r="C48">
        <v>28681.8346641063</v>
      </c>
      <c r="D48" t="s">
        <v>193</v>
      </c>
      <c r="E48">
        <v>32</v>
      </c>
      <c r="F48">
        <v>638.05624175071705</v>
      </c>
      <c r="G48" t="s">
        <v>194</v>
      </c>
      <c r="H48">
        <v>32</v>
      </c>
      <c r="I48">
        <v>463.24853658676102</v>
      </c>
      <c r="J48" t="s">
        <v>195</v>
      </c>
      <c r="K48">
        <v>32</v>
      </c>
      <c r="L48">
        <v>86400.312841892199</v>
      </c>
      <c r="O48">
        <v>5.4316520690917899E-3</v>
      </c>
      <c r="P48" t="s">
        <v>196</v>
      </c>
      <c r="Q48">
        <v>31</v>
      </c>
      <c r="R48">
        <v>40</v>
      </c>
      <c r="S48" t="s">
        <v>197</v>
      </c>
      <c r="T48">
        <v>0.35608616999979797</v>
      </c>
      <c r="U48">
        <v>31</v>
      </c>
      <c r="V48" t="s">
        <v>226</v>
      </c>
      <c r="W48">
        <v>1.55985509200036</v>
      </c>
      <c r="X48">
        <v>32</v>
      </c>
      <c r="Y48" t="s">
        <v>226</v>
      </c>
      <c r="Z48">
        <v>4.1092324909986901</v>
      </c>
      <c r="AA48">
        <v>32</v>
      </c>
    </row>
    <row r="49" spans="1:27" x14ac:dyDescent="0.35">
      <c r="A49">
        <v>48</v>
      </c>
      <c r="B49">
        <v>7</v>
      </c>
      <c r="C49">
        <v>24.768089056015</v>
      </c>
      <c r="D49" t="s">
        <v>198</v>
      </c>
      <c r="E49">
        <v>23</v>
      </c>
      <c r="F49">
        <v>17601.845165967901</v>
      </c>
      <c r="G49" t="s">
        <v>199</v>
      </c>
      <c r="H49">
        <v>23</v>
      </c>
      <c r="I49">
        <v>1496.15870833396</v>
      </c>
      <c r="J49" t="s">
        <v>200</v>
      </c>
      <c r="K49">
        <v>23</v>
      </c>
      <c r="L49">
        <v>86400.219609498905</v>
      </c>
      <c r="O49">
        <v>4.7314167022705E-3</v>
      </c>
      <c r="P49" t="s">
        <v>201</v>
      </c>
      <c r="Q49">
        <v>19</v>
      </c>
      <c r="R49">
        <v>40</v>
      </c>
      <c r="S49" t="s">
        <v>202</v>
      </c>
      <c r="T49">
        <v>0.34803474099999199</v>
      </c>
      <c r="U49">
        <v>23</v>
      </c>
      <c r="V49" t="s">
        <v>202</v>
      </c>
      <c r="W49">
        <v>1.4282287449996101</v>
      </c>
      <c r="X49">
        <v>23</v>
      </c>
      <c r="Y49" t="s">
        <v>202</v>
      </c>
      <c r="Z49">
        <v>2.3426600800012198</v>
      </c>
      <c r="AA49">
        <v>23</v>
      </c>
    </row>
    <row r="50" spans="1:27" x14ac:dyDescent="0.35">
      <c r="A50">
        <v>49</v>
      </c>
      <c r="B50">
        <v>7</v>
      </c>
      <c r="C50">
        <v>20.868867158889699</v>
      </c>
      <c r="D50" t="s">
        <v>203</v>
      </c>
      <c r="E50">
        <v>25</v>
      </c>
      <c r="F50">
        <v>5634.1728641986801</v>
      </c>
      <c r="G50" t="s">
        <v>204</v>
      </c>
      <c r="H50">
        <v>25</v>
      </c>
      <c r="I50">
        <v>1068.1284990310601</v>
      </c>
      <c r="J50" t="s">
        <v>203</v>
      </c>
      <c r="K50">
        <v>25</v>
      </c>
      <c r="L50">
        <v>86400.086030006394</v>
      </c>
      <c r="O50">
        <v>4.53543663024902E-3</v>
      </c>
      <c r="P50" t="s">
        <v>205</v>
      </c>
      <c r="Q50">
        <v>19</v>
      </c>
      <c r="R50">
        <v>40</v>
      </c>
      <c r="S50" t="s">
        <v>206</v>
      </c>
      <c r="T50">
        <v>0.26112656500004</v>
      </c>
      <c r="U50">
        <v>25</v>
      </c>
      <c r="V50" t="s">
        <v>206</v>
      </c>
      <c r="W50">
        <v>1.2114305909999501</v>
      </c>
      <c r="X50">
        <v>25</v>
      </c>
      <c r="Y50" t="s">
        <v>206</v>
      </c>
      <c r="Z50">
        <v>3.0090908170022801</v>
      </c>
      <c r="AA50">
        <v>25</v>
      </c>
    </row>
    <row r="51" spans="1:27" x14ac:dyDescent="0.35">
      <c r="A51">
        <v>50</v>
      </c>
      <c r="B51">
        <v>7</v>
      </c>
      <c r="C51">
        <v>18.745156764984099</v>
      </c>
      <c r="D51" t="s">
        <v>207</v>
      </c>
      <c r="E51">
        <v>31</v>
      </c>
      <c r="F51">
        <v>163.14162302017201</v>
      </c>
      <c r="G51" t="s">
        <v>207</v>
      </c>
      <c r="H51">
        <v>31</v>
      </c>
      <c r="I51">
        <v>452.50598287582397</v>
      </c>
      <c r="J51" t="s">
        <v>207</v>
      </c>
      <c r="K51">
        <v>31</v>
      </c>
      <c r="L51">
        <v>86400.124464988694</v>
      </c>
      <c r="O51">
        <v>4.9333572387695304E-3</v>
      </c>
      <c r="P51" t="s">
        <v>208</v>
      </c>
      <c r="Q51">
        <v>29</v>
      </c>
      <c r="R51">
        <v>40</v>
      </c>
      <c r="S51" t="s">
        <v>209</v>
      </c>
      <c r="T51">
        <v>0.19198067499996699</v>
      </c>
      <c r="U51">
        <v>31</v>
      </c>
      <c r="V51" t="s">
        <v>209</v>
      </c>
      <c r="W51">
        <v>1.0493775380000401</v>
      </c>
      <c r="X51">
        <v>31</v>
      </c>
      <c r="Y51" t="s">
        <v>209</v>
      </c>
      <c r="Z51">
        <v>1.27878317900103</v>
      </c>
      <c r="AA51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35F2-4444-4669-A5D3-7E2FDCF9DF83}">
  <dimension ref="A1:J17"/>
  <sheetViews>
    <sheetView zoomScale="65" workbookViewId="0">
      <selection activeCell="H17" sqref="A12:H17"/>
    </sheetView>
  </sheetViews>
  <sheetFormatPr defaultRowHeight="14.5" x14ac:dyDescent="0.35"/>
  <cols>
    <col min="1" max="1" width="11.1796875" customWidth="1"/>
    <col min="2" max="2" width="11.54296875" customWidth="1"/>
    <col min="3" max="3" width="31.90625" customWidth="1"/>
    <col min="4" max="6" width="30.81640625" customWidth="1"/>
    <col min="7" max="8" width="23" customWidth="1"/>
    <col min="9" max="9" width="16" customWidth="1"/>
  </cols>
  <sheetData>
    <row r="1" spans="1:10" x14ac:dyDescent="0.35">
      <c r="A1" s="4" t="s">
        <v>242</v>
      </c>
      <c r="B1" s="5" t="s">
        <v>250</v>
      </c>
      <c r="C1" s="4" t="s">
        <v>243</v>
      </c>
      <c r="D1" s="4" t="s">
        <v>244</v>
      </c>
      <c r="E1" s="4" t="s">
        <v>245</v>
      </c>
      <c r="F1" s="5" t="s">
        <v>246</v>
      </c>
      <c r="G1" s="4" t="s">
        <v>247</v>
      </c>
      <c r="H1" s="4" t="s">
        <v>248</v>
      </c>
      <c r="I1" s="4" t="s">
        <v>249</v>
      </c>
      <c r="J1" s="4"/>
    </row>
    <row r="2" spans="1:10" x14ac:dyDescent="0.35">
      <c r="A2" s="2">
        <v>3</v>
      </c>
      <c r="B2">
        <f>AVERAGEIF(Table1[root],Table2[[#This Row],[Grado raíz]],Table1[optimal_greedy])</f>
        <v>33</v>
      </c>
      <c r="C2">
        <f>AVERAGEIF(Table1[root],Table2[[#This Row],[Grado raíz]],Table1[optimal_iqcp])</f>
        <v>34.700000000000003</v>
      </c>
      <c r="D2">
        <f>AVERAGEIF(Table1[root],Table2[[#This Row],[Grado raíz]],Table1[optimal_rollout k=1])</f>
        <v>34.6</v>
      </c>
      <c r="E2">
        <f>AVERAGEIF(Table1[root],Table2[[#This Row],[Grado raíz]],Table1[optimal_rollout k=2])</f>
        <v>34.6</v>
      </c>
      <c r="F2">
        <f>AVERAGEIF(Table1[root],Table2[[#This Row],[Grado raíz]],Table1[optimal_rollout k=3])</f>
        <v>34.6</v>
      </c>
      <c r="G2" s="6">
        <f>(Table2[[#This Row],[Prom. Nodos salvados óptimo IQCP]]-Table2[[#This Row],[Prom. Nodos salvados Rollout k=1]])/Table2[[#This Row],[Prom. Nodos salvados óptimo IQCP]]</f>
        <v>2.8818443804034988E-3</v>
      </c>
      <c r="H2" s="7">
        <f>(Table2[[#This Row],[Prom. Nodos salvados óptimo IQCP]]-Table2[[#This Row],[Prom. Nodos salvados Rollout k=2]])/Table2[[#This Row],[Prom. Nodos salvados óptimo IQCP]]</f>
        <v>2.8818443804034988E-3</v>
      </c>
      <c r="I2" s="7">
        <f>(Table2[[#This Row],[Prom. Nodos salvados óptimo IQCP]]-Table2[[#This Row],[Prom. Nodos salvados Rollout k=3]])/Table2[[#This Row],[Prom. Nodos salvados óptimo IQCP]]</f>
        <v>2.8818443804034988E-3</v>
      </c>
      <c r="J2" s="8"/>
    </row>
    <row r="3" spans="1:10" x14ac:dyDescent="0.35">
      <c r="A3" s="3">
        <v>4</v>
      </c>
      <c r="B3">
        <f>AVERAGEIF(Table1[root],Table2[[#This Row],[Grado raíz]],Table1[optimal_greedy])</f>
        <v>34.4</v>
      </c>
      <c r="C3">
        <f>AVERAGEIF(Table1[root],Table2[[#This Row],[Grado raíz]],Table1[optimal_iqcp])</f>
        <v>35.199999999999989</v>
      </c>
      <c r="D3">
        <f>AVERAGEIF(Table1[root],Table2[[#This Row],[Grado raíz]],Table1[optimal_rollout k=1])</f>
        <v>34.9</v>
      </c>
      <c r="E3">
        <f>AVERAGEIF(Table1[root],Table2[[#This Row],[Grado raíz]],Table1[optimal_rollout k=2])</f>
        <v>35</v>
      </c>
      <c r="F3">
        <f>AVERAGEIF(Table1[root],Table2[[#This Row],[Grado raíz]],Table1[optimal_rollout k=3])</f>
        <v>35.1</v>
      </c>
      <c r="G3" s="6">
        <f>(Table2[[#This Row],[Prom. Nodos salvados óptimo IQCP]]-Table2[[#This Row],[Prom. Nodos salvados Rollout k=1]])/Table2[[#This Row],[Prom. Nodos salvados óptimo IQCP]]</f>
        <v>8.5227272727269928E-3</v>
      </c>
      <c r="H3" s="7">
        <f>(Table2[[#This Row],[Prom. Nodos salvados óptimo IQCP]]-Table2[[#This Row],[Prom. Nodos salvados Rollout k=2]])/Table2[[#This Row],[Prom. Nodos salvados óptimo IQCP]]</f>
        <v>5.6818181818178611E-3</v>
      </c>
      <c r="I3" s="7">
        <f>(Table2[[#This Row],[Prom. Nodos salvados óptimo IQCP]]-Table2[[#This Row],[Prom. Nodos salvados Rollout k=3]])/Table2[[#This Row],[Prom. Nodos salvados óptimo IQCP]]</f>
        <v>2.8409090909087284E-3</v>
      </c>
      <c r="J3" s="8"/>
    </row>
    <row r="4" spans="1:10" x14ac:dyDescent="0.35">
      <c r="A4" s="2">
        <v>5</v>
      </c>
      <c r="B4">
        <f>AVERAGEIF(Table1[root],Table2[[#This Row],[Grado raíz]],Table1[optimal_greedy])</f>
        <v>32.700000000000003</v>
      </c>
      <c r="C4">
        <f>AVERAGEIF(Table1[root],Table2[[#This Row],[Grado raíz]],Table1[optimal_iqcp])</f>
        <v>34.700000000000003</v>
      </c>
      <c r="D4">
        <f>AVERAGEIF(Table1[root],Table2[[#This Row],[Grado raíz]],Table1[optimal_rollout k=1])</f>
        <v>34.1</v>
      </c>
      <c r="E4">
        <f>AVERAGEIF(Table1[root],Table2[[#This Row],[Grado raíz]],Table1[optimal_rollout k=2])</f>
        <v>34.1</v>
      </c>
      <c r="F4">
        <f>AVERAGEIF(Table1[root],Table2[[#This Row],[Grado raíz]],Table1[optimal_rollout k=3])</f>
        <v>34.5</v>
      </c>
      <c r="G4" s="6">
        <f>(Table2[[#This Row],[Prom. Nodos salvados óptimo IQCP]]-Table2[[#This Row],[Prom. Nodos salvados Rollout k=1]])/Table2[[#This Row],[Prom. Nodos salvados óptimo IQCP]]</f>
        <v>1.7291066282420789E-2</v>
      </c>
      <c r="H4" s="7">
        <f>(Table2[[#This Row],[Prom. Nodos salvados óptimo IQCP]]-Table2[[#This Row],[Prom. Nodos salvados Rollout k=2]])/Table2[[#This Row],[Prom. Nodos salvados óptimo IQCP]]</f>
        <v>1.7291066282420789E-2</v>
      </c>
      <c r="I4" s="7">
        <f>(Table2[[#This Row],[Prom. Nodos salvados óptimo IQCP]]-Table2[[#This Row],[Prom. Nodos salvados Rollout k=3]])/Table2[[#This Row],[Prom. Nodos salvados óptimo IQCP]]</f>
        <v>5.7636887608069976E-3</v>
      </c>
      <c r="J4" s="8"/>
    </row>
    <row r="5" spans="1:10" x14ac:dyDescent="0.35">
      <c r="A5" s="3">
        <v>6</v>
      </c>
      <c r="B5">
        <f>AVERAGEIF(Table1[root],Table2[[#This Row],[Grado raíz]],Table1[optimal_greedy])</f>
        <v>28.7</v>
      </c>
      <c r="C5">
        <f>AVERAGEIF(Table1[root],Table2[[#This Row],[Grado raíz]],Table1[optimal_iqcp])</f>
        <v>31.4</v>
      </c>
      <c r="D5">
        <f>AVERAGEIF(Table1[root],Table2[[#This Row],[Grado raíz]],Table1[optimal_rollout k=1])</f>
        <v>31.1</v>
      </c>
      <c r="E5">
        <f>AVERAGEIF(Table1[root],Table2[[#This Row],[Grado raíz]],Table1[optimal_rollout k=2])</f>
        <v>31.1</v>
      </c>
      <c r="F5">
        <f>AVERAGEIF(Table1[root],Table2[[#This Row],[Grado raíz]],Table1[optimal_rollout k=3])</f>
        <v>31.1</v>
      </c>
      <c r="G5" s="6">
        <f>(Table2[[#This Row],[Prom. Nodos salvados óptimo IQCP]]-Table2[[#This Row],[Prom. Nodos salvados Rollout k=1]])/Table2[[#This Row],[Prom. Nodos salvados óptimo IQCP]]</f>
        <v>9.5541401273884444E-3</v>
      </c>
      <c r="H5" s="7">
        <f>(Table2[[#This Row],[Prom. Nodos salvados óptimo IQCP]]-Table2[[#This Row],[Prom. Nodos salvados Rollout k=2]])/Table2[[#This Row],[Prom. Nodos salvados óptimo IQCP]]</f>
        <v>9.5541401273884444E-3</v>
      </c>
      <c r="I5" s="7">
        <f>(Table2[[#This Row],[Prom. Nodos salvados óptimo IQCP]]-Table2[[#This Row],[Prom. Nodos salvados Rollout k=3]])/Table2[[#This Row],[Prom. Nodos salvados óptimo IQCP]]</f>
        <v>9.5541401273884444E-3</v>
      </c>
      <c r="J5" s="8"/>
    </row>
    <row r="6" spans="1:10" x14ac:dyDescent="0.35">
      <c r="A6" s="2">
        <v>7</v>
      </c>
      <c r="B6">
        <f>AVERAGEIF(Table1[root],Table2[[#This Row],[Grado raíz]],Table1[optimal_greedy])</f>
        <v>27.5</v>
      </c>
      <c r="C6">
        <f>AVERAGEIF(Table1[root],Table2[[#This Row],[Grado raíz]],Table1[optimal_iqcp])</f>
        <v>30.3</v>
      </c>
      <c r="D6">
        <f>AVERAGEIF(Table1[root],Table2[[#This Row],[Grado raíz]],Table1[optimal_rollout k=1])</f>
        <v>29.7</v>
      </c>
      <c r="E6">
        <f>AVERAGEIF(Table1[root],Table2[[#This Row],[Grado raíz]],Table1[optimal_rollout k=2])</f>
        <v>30</v>
      </c>
      <c r="F6">
        <f>AVERAGEIF(Table1[root],Table2[[#This Row],[Grado raíz]],Table1[optimal_rollout k=3])</f>
        <v>30.1</v>
      </c>
      <c r="G6" s="6">
        <f>(Table2[[#This Row],[Prom. Nodos salvados óptimo IQCP]]-Table2[[#This Row],[Prom. Nodos salvados Rollout k=1]])/Table2[[#This Row],[Prom. Nodos salvados óptimo IQCP]]</f>
        <v>1.9801980198019847E-2</v>
      </c>
      <c r="H6" s="7">
        <f>(Table2[[#This Row],[Prom. Nodos salvados óptimo IQCP]]-Table2[[#This Row],[Prom. Nodos salvados Rollout k=2]])/Table2[[#This Row],[Prom. Nodos salvados óptimo IQCP]]</f>
        <v>9.9009900990099237E-3</v>
      </c>
      <c r="I6" s="7">
        <f>(Table2[[#This Row],[Prom. Nodos salvados óptimo IQCP]]-Table2[[#This Row],[Prom. Nodos salvados Rollout k=3]])/Table2[[#This Row],[Prom. Nodos salvados óptimo IQCP]]</f>
        <v>6.6006600660065773E-3</v>
      </c>
      <c r="J6" s="8"/>
    </row>
    <row r="12" spans="1:10" x14ac:dyDescent="0.35">
      <c r="A12" s="4" t="s">
        <v>242</v>
      </c>
      <c r="B12" s="4" t="s">
        <v>251</v>
      </c>
      <c r="C12" s="4" t="s">
        <v>252</v>
      </c>
      <c r="D12" s="4" t="s">
        <v>253</v>
      </c>
      <c r="E12" s="4" t="s">
        <v>254</v>
      </c>
      <c r="F12" s="4" t="s">
        <v>255</v>
      </c>
      <c r="G12" s="5" t="s">
        <v>256</v>
      </c>
      <c r="H12" s="5" t="s">
        <v>250</v>
      </c>
    </row>
    <row r="13" spans="1:10" x14ac:dyDescent="0.35">
      <c r="A13" s="2">
        <v>3</v>
      </c>
      <c r="B13" s="1">
        <f>AVERAGEIF(Table1[root],Table3[[#This Row],[Grado raíz]],Table1[duration_miqcp])</f>
        <v>86400.180150699598</v>
      </c>
      <c r="C13" s="1">
        <f>AVERAGEIF(Table1[root],Table3[[#This Row],[Grado raíz]],Table1[duration_iqcp])</f>
        <v>59.419794297218303</v>
      </c>
      <c r="D13" s="1">
        <f>AVERAGEIF(Table1[root],Table3[[#This Row],[Grado raíz]],Table1[duration_ilp])</f>
        <v>223.74310989379828</v>
      </c>
      <c r="E13" s="1">
        <f>AVERAGEIF(Table1[root],Table3[[#This Row],[Grado raíz]],Table1[time_taken k=1])</f>
        <v>0.51273597730003007</v>
      </c>
      <c r="F13" s="1">
        <f>AVERAGEIF(Table1[root],Table3[[#This Row],[Grado raíz]],Table1[time_taken k=2])</f>
        <v>3.254061016400005</v>
      </c>
      <c r="G13" s="1">
        <f>AVERAGEIF(Table1[root],Table3[[#This Row],[Grado raíz]],Table1[time_taken k=3])</f>
        <v>5.8776783757999365</v>
      </c>
      <c r="H13" s="1">
        <f>AVERAGEIF(Table1[root],Table3[[#This Row],[Grado raíz]],Table1[duration_greedy])</f>
        <v>5.2127599716186492E-3</v>
      </c>
    </row>
    <row r="14" spans="1:10" x14ac:dyDescent="0.35">
      <c r="A14" s="3">
        <v>4</v>
      </c>
      <c r="B14" s="1">
        <f>AVERAGEIF(Table1[root],Table3[[#This Row],[Grado raíz]],Table1[duration_miqcp])</f>
        <v>77764.879277253116</v>
      </c>
      <c r="C14" s="1">
        <f>AVERAGEIF(Table1[root],Table3[[#This Row],[Grado raíz]],Table1[duration_iqcp])</f>
        <v>148.05524251461026</v>
      </c>
      <c r="D14" s="1">
        <f>AVERAGEIF(Table1[root],Table3[[#This Row],[Grado raíz]],Table1[duration_ilp])</f>
        <v>252.69481949806169</v>
      </c>
      <c r="E14" s="1">
        <f>AVERAGEIF(Table1[root],Table3[[#This Row],[Grado raíz]],Table1[time_taken k=1])</f>
        <v>0.55071810019999201</v>
      </c>
      <c r="F14" s="1">
        <f>AVERAGEIF(Table1[root],Table3[[#This Row],[Grado raíz]],Table1[time_taken k=2])</f>
        <v>3.2022728755998235</v>
      </c>
      <c r="G14" s="1">
        <f>AVERAGEIF(Table1[root],Table3[[#This Row],[Grado raíz]],Table1[time_taken k=3])</f>
        <v>6.8587023958003446</v>
      </c>
      <c r="H14" s="1">
        <f>AVERAGEIF(Table1[root],Table3[[#This Row],[Grado raíz]],Table1[duration_greedy])</f>
        <v>5.0603389739990162E-3</v>
      </c>
    </row>
    <row r="15" spans="1:10" x14ac:dyDescent="0.35">
      <c r="A15" s="2">
        <v>5</v>
      </c>
      <c r="B15" s="1">
        <f>AVERAGEIF(Table1[root],Table3[[#This Row],[Grado raíz]],Table1[duration_miqcp])</f>
        <v>81180.44306766981</v>
      </c>
      <c r="C15" s="1">
        <f>AVERAGEIF(Table1[root],Table3[[#This Row],[Grado raíz]],Table1[duration_iqcp])</f>
        <v>84.239138317108072</v>
      </c>
      <c r="D15" s="1">
        <f>AVERAGEIF(Table1[root],Table3[[#This Row],[Grado raíz]],Table1[duration_ilp])</f>
        <v>299.32945880889844</v>
      </c>
      <c r="E15" s="1">
        <f>AVERAGEIF(Table1[root],Table3[[#This Row],[Grado raíz]],Table1[time_taken k=1])</f>
        <v>0.38916291619998389</v>
      </c>
      <c r="F15" s="1">
        <f>AVERAGEIF(Table1[root],Table3[[#This Row],[Grado raíz]],Table1[time_taken k=2])</f>
        <v>3.1407421796000499</v>
      </c>
      <c r="G15" s="1">
        <f>AVERAGEIF(Table1[root],Table3[[#This Row],[Grado raíz]],Table1[time_taken k=3])</f>
        <v>7.9430134768001013</v>
      </c>
      <c r="H15" s="1">
        <f>AVERAGEIF(Table1[root],Table3[[#This Row],[Grado raíz]],Table1[duration_greedy])</f>
        <v>5.1291227340698204E-3</v>
      </c>
    </row>
    <row r="16" spans="1:10" x14ac:dyDescent="0.35">
      <c r="A16" s="3">
        <v>6</v>
      </c>
      <c r="B16" s="1">
        <f>AVERAGEIF(Table1[root],Table3[[#This Row],[Grado raíz]],Table1[duration_miqcp])</f>
        <v>86400.127089905698</v>
      </c>
      <c r="C16" s="1">
        <f>AVERAGEIF(Table1[root],Table3[[#This Row],[Grado raíz]],Table1[duration_iqcp])</f>
        <v>1005.3736598014817</v>
      </c>
      <c r="D16" s="1">
        <f>AVERAGEIF(Table1[root],Table3[[#This Row],[Grado raíz]],Table1[duration_ilp])</f>
        <v>339.81339509487117</v>
      </c>
      <c r="E16" s="1">
        <f>AVERAGEIF(Table1[root],Table3[[#This Row],[Grado raíz]],Table1[time_taken k=1])</f>
        <v>0.33074510929998219</v>
      </c>
      <c r="F16" s="1">
        <f>AVERAGEIF(Table1[root],Table3[[#This Row],[Grado raíz]],Table1[time_taken k=2])</f>
        <v>2.5352087260001062</v>
      </c>
      <c r="G16" s="1">
        <f>AVERAGEIF(Table1[root],Table3[[#This Row],[Grado raíz]],Table1[time_taken k=3])</f>
        <v>6.5939603017999442</v>
      </c>
      <c r="H16" s="1">
        <f>AVERAGEIF(Table1[root],Table3[[#This Row],[Grado raíz]],Table1[duration_greedy])</f>
        <v>5.593585968017574E-3</v>
      </c>
    </row>
    <row r="17" spans="1:8" x14ac:dyDescent="0.35">
      <c r="A17" s="2">
        <v>7</v>
      </c>
      <c r="B17" s="1">
        <f>AVERAGEIF(Table1[root],Table3[[#This Row],[Grado raíz]],Table1[duration_miqcp])</f>
        <v>86400.16111054417</v>
      </c>
      <c r="C17" s="1">
        <f>AVERAGEIF(Table1[root],Table3[[#This Row],[Grado raíz]],Table1[duration_iqcp])</f>
        <v>2685.3627412319138</v>
      </c>
      <c r="D17" s="1">
        <f>AVERAGEIF(Table1[root],Table3[[#This Row],[Grado raíz]],Table1[duration_ilp])</f>
        <v>648.97580950259965</v>
      </c>
      <c r="E17" s="1">
        <f>AVERAGEIF(Table1[root],Table3[[#This Row],[Grado raíz]],Table1[time_taken k=1])</f>
        <v>0.33339408799995407</v>
      </c>
      <c r="F17" s="1">
        <f>AVERAGEIF(Table1[root],Table3[[#This Row],[Grado raíz]],Table1[time_taken k=2])</f>
        <v>2.1350482506999429</v>
      </c>
      <c r="G17" s="1">
        <f>AVERAGEIF(Table1[root],Table3[[#This Row],[Grado raíz]],Table1[time_taken k=3])</f>
        <v>5.4707118909005512</v>
      </c>
      <c r="H17" s="1">
        <f>AVERAGEIF(Table1[root],Table3[[#This Row],[Grado raíz]],Table1[duration_greedy])</f>
        <v>5.1727056503295867E-3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6F40-3DB2-4C67-9101-CD9FB237A936}">
  <dimension ref="A1:E51"/>
  <sheetViews>
    <sheetView workbookViewId="0">
      <selection activeCell="A2" sqref="A2:E51"/>
    </sheetView>
  </sheetViews>
  <sheetFormatPr defaultRowHeight="14.5" x14ac:dyDescent="0.35"/>
  <cols>
    <col min="2" max="2" width="28.453125" bestFit="1" customWidth="1"/>
    <col min="3" max="3" width="21.54296875" bestFit="1" customWidth="1"/>
    <col min="4" max="5" width="22.54296875" bestFit="1" customWidth="1"/>
  </cols>
  <sheetData>
    <row r="1" spans="1:5" x14ac:dyDescent="0.35">
      <c r="A1" t="s">
        <v>0</v>
      </c>
      <c r="B1" t="s">
        <v>5</v>
      </c>
      <c r="C1" t="s">
        <v>210</v>
      </c>
      <c r="D1" t="s">
        <v>227</v>
      </c>
      <c r="E1" t="s">
        <v>235</v>
      </c>
    </row>
    <row r="2" spans="1:5" x14ac:dyDescent="0.35">
      <c r="A2">
        <v>1</v>
      </c>
      <c r="B2" t="s">
        <v>16</v>
      </c>
      <c r="C2" t="s">
        <v>17</v>
      </c>
      <c r="D2" t="s">
        <v>17</v>
      </c>
      <c r="E2" t="s">
        <v>17</v>
      </c>
    </row>
    <row r="3" spans="1:5" x14ac:dyDescent="0.35">
      <c r="A3">
        <v>2</v>
      </c>
      <c r="B3" t="s">
        <v>18</v>
      </c>
      <c r="C3" t="s">
        <v>19</v>
      </c>
      <c r="D3" t="s">
        <v>19</v>
      </c>
      <c r="E3" t="s">
        <v>19</v>
      </c>
    </row>
    <row r="4" spans="1:5" x14ac:dyDescent="0.35">
      <c r="A4">
        <v>3</v>
      </c>
      <c r="B4" t="s">
        <v>21</v>
      </c>
      <c r="C4" t="s">
        <v>24</v>
      </c>
      <c r="D4" t="s">
        <v>24</v>
      </c>
      <c r="E4" t="s">
        <v>230</v>
      </c>
    </row>
    <row r="5" spans="1:5" x14ac:dyDescent="0.35">
      <c r="A5">
        <v>4</v>
      </c>
      <c r="B5" t="s">
        <v>26</v>
      </c>
      <c r="C5" t="s">
        <v>28</v>
      </c>
      <c r="D5" t="s">
        <v>28</v>
      </c>
      <c r="E5" t="s">
        <v>28</v>
      </c>
    </row>
    <row r="6" spans="1:5" x14ac:dyDescent="0.35">
      <c r="A6">
        <v>5</v>
      </c>
      <c r="B6" t="s">
        <v>29</v>
      </c>
      <c r="C6" t="s">
        <v>30</v>
      </c>
      <c r="D6" t="s">
        <v>30</v>
      </c>
      <c r="E6" t="s">
        <v>30</v>
      </c>
    </row>
    <row r="7" spans="1:5" x14ac:dyDescent="0.35">
      <c r="A7">
        <v>6</v>
      </c>
      <c r="B7" t="s">
        <v>32</v>
      </c>
      <c r="C7" t="s">
        <v>33</v>
      </c>
      <c r="D7" t="s">
        <v>33</v>
      </c>
      <c r="E7" t="s">
        <v>33</v>
      </c>
    </row>
    <row r="8" spans="1:5" x14ac:dyDescent="0.35">
      <c r="A8">
        <v>7</v>
      </c>
      <c r="B8" t="s">
        <v>35</v>
      </c>
      <c r="C8" t="s">
        <v>37</v>
      </c>
      <c r="D8" t="s">
        <v>37</v>
      </c>
      <c r="E8" t="s">
        <v>37</v>
      </c>
    </row>
    <row r="9" spans="1:5" x14ac:dyDescent="0.35">
      <c r="A9">
        <v>8</v>
      </c>
      <c r="B9" t="s">
        <v>38</v>
      </c>
      <c r="C9" t="s">
        <v>40</v>
      </c>
      <c r="D9" t="s">
        <v>40</v>
      </c>
      <c r="E9" t="s">
        <v>40</v>
      </c>
    </row>
    <row r="10" spans="1:5" x14ac:dyDescent="0.35">
      <c r="A10">
        <v>9</v>
      </c>
      <c r="B10" t="s">
        <v>42</v>
      </c>
      <c r="C10" t="s">
        <v>44</v>
      </c>
      <c r="D10" t="s">
        <v>213</v>
      </c>
      <c r="E10" t="s">
        <v>213</v>
      </c>
    </row>
    <row r="11" spans="1:5" x14ac:dyDescent="0.35">
      <c r="A11">
        <v>10</v>
      </c>
      <c r="B11" t="s">
        <v>46</v>
      </c>
      <c r="C11" t="s">
        <v>48</v>
      </c>
      <c r="D11" t="s">
        <v>214</v>
      </c>
      <c r="E11" t="s">
        <v>214</v>
      </c>
    </row>
    <row r="12" spans="1:5" x14ac:dyDescent="0.35">
      <c r="A12">
        <v>11</v>
      </c>
      <c r="B12" t="s">
        <v>50</v>
      </c>
      <c r="C12" t="s">
        <v>51</v>
      </c>
      <c r="D12" t="s">
        <v>51</v>
      </c>
      <c r="E12" t="s">
        <v>51</v>
      </c>
    </row>
    <row r="13" spans="1:5" x14ac:dyDescent="0.35">
      <c r="A13">
        <v>12</v>
      </c>
      <c r="B13" t="s">
        <v>52</v>
      </c>
      <c r="C13" t="s">
        <v>55</v>
      </c>
      <c r="D13" t="s">
        <v>215</v>
      </c>
      <c r="E13" t="s">
        <v>55</v>
      </c>
    </row>
    <row r="14" spans="1:5" x14ac:dyDescent="0.35">
      <c r="A14">
        <v>13</v>
      </c>
      <c r="B14" t="s">
        <v>57</v>
      </c>
      <c r="C14" t="s">
        <v>60</v>
      </c>
      <c r="D14" t="s">
        <v>216</v>
      </c>
      <c r="E14" t="s">
        <v>216</v>
      </c>
    </row>
    <row r="15" spans="1:5" x14ac:dyDescent="0.35">
      <c r="A15">
        <v>14</v>
      </c>
      <c r="B15" t="s">
        <v>62</v>
      </c>
      <c r="C15" t="s">
        <v>65</v>
      </c>
      <c r="D15" t="s">
        <v>217</v>
      </c>
      <c r="E15" t="s">
        <v>217</v>
      </c>
    </row>
    <row r="16" spans="1:5" x14ac:dyDescent="0.35">
      <c r="A16">
        <v>15</v>
      </c>
      <c r="B16" t="s">
        <v>66</v>
      </c>
      <c r="C16" t="s">
        <v>68</v>
      </c>
      <c r="D16" t="s">
        <v>218</v>
      </c>
      <c r="E16" t="s">
        <v>218</v>
      </c>
    </row>
    <row r="17" spans="1:5" x14ac:dyDescent="0.35">
      <c r="A17">
        <v>16</v>
      </c>
      <c r="B17" t="s">
        <v>70</v>
      </c>
      <c r="C17" t="s">
        <v>71</v>
      </c>
      <c r="D17" t="s">
        <v>71</v>
      </c>
      <c r="E17" t="s">
        <v>71</v>
      </c>
    </row>
    <row r="18" spans="1:5" x14ac:dyDescent="0.35">
      <c r="A18">
        <v>17</v>
      </c>
      <c r="B18" t="s">
        <v>72</v>
      </c>
      <c r="C18" t="s">
        <v>76</v>
      </c>
      <c r="D18" t="s">
        <v>76</v>
      </c>
      <c r="E18" t="s">
        <v>76</v>
      </c>
    </row>
    <row r="19" spans="1:5" x14ac:dyDescent="0.35">
      <c r="A19">
        <v>18</v>
      </c>
      <c r="B19" t="s">
        <v>78</v>
      </c>
      <c r="C19" t="s">
        <v>80</v>
      </c>
      <c r="D19" t="s">
        <v>80</v>
      </c>
      <c r="E19" t="s">
        <v>80</v>
      </c>
    </row>
    <row r="20" spans="1:5" x14ac:dyDescent="0.35">
      <c r="A20">
        <v>19</v>
      </c>
      <c r="B20" t="s">
        <v>82</v>
      </c>
      <c r="C20" t="s">
        <v>84</v>
      </c>
      <c r="D20" t="s">
        <v>84</v>
      </c>
      <c r="E20" t="s">
        <v>84</v>
      </c>
    </row>
    <row r="21" spans="1:5" x14ac:dyDescent="0.35">
      <c r="A21">
        <v>20</v>
      </c>
      <c r="B21" t="s">
        <v>86</v>
      </c>
      <c r="C21" t="s">
        <v>89</v>
      </c>
      <c r="D21" t="s">
        <v>89</v>
      </c>
      <c r="E21" t="s">
        <v>89</v>
      </c>
    </row>
    <row r="22" spans="1:5" x14ac:dyDescent="0.35">
      <c r="A22">
        <v>21</v>
      </c>
      <c r="B22" t="s">
        <v>90</v>
      </c>
      <c r="C22" t="s">
        <v>93</v>
      </c>
      <c r="D22" t="s">
        <v>93</v>
      </c>
      <c r="E22" t="s">
        <v>93</v>
      </c>
    </row>
    <row r="23" spans="1:5" x14ac:dyDescent="0.35">
      <c r="A23">
        <v>22</v>
      </c>
      <c r="B23" t="s">
        <v>95</v>
      </c>
      <c r="C23" t="s">
        <v>98</v>
      </c>
      <c r="D23" t="s">
        <v>98</v>
      </c>
      <c r="E23" t="s">
        <v>231</v>
      </c>
    </row>
    <row r="24" spans="1:5" x14ac:dyDescent="0.35">
      <c r="A24">
        <v>23</v>
      </c>
      <c r="B24" t="s">
        <v>100</v>
      </c>
      <c r="C24" t="s">
        <v>103</v>
      </c>
      <c r="D24" t="s">
        <v>219</v>
      </c>
      <c r="E24" t="s">
        <v>232</v>
      </c>
    </row>
    <row r="25" spans="1:5" x14ac:dyDescent="0.35">
      <c r="A25">
        <v>24</v>
      </c>
      <c r="B25" t="s">
        <v>105</v>
      </c>
      <c r="C25" t="s">
        <v>108</v>
      </c>
      <c r="D25" t="s">
        <v>108</v>
      </c>
      <c r="E25" t="s">
        <v>108</v>
      </c>
    </row>
    <row r="26" spans="1:5" x14ac:dyDescent="0.35">
      <c r="A26">
        <v>25</v>
      </c>
      <c r="B26" t="s">
        <v>109</v>
      </c>
      <c r="C26" t="s">
        <v>110</v>
      </c>
      <c r="D26" t="s">
        <v>110</v>
      </c>
      <c r="E26" t="s">
        <v>110</v>
      </c>
    </row>
    <row r="27" spans="1:5" x14ac:dyDescent="0.35">
      <c r="A27">
        <v>26</v>
      </c>
      <c r="B27" t="s">
        <v>112</v>
      </c>
      <c r="C27" t="s">
        <v>114</v>
      </c>
      <c r="D27" t="s">
        <v>220</v>
      </c>
      <c r="E27" t="s">
        <v>233</v>
      </c>
    </row>
    <row r="28" spans="1:5" x14ac:dyDescent="0.35">
      <c r="A28">
        <v>27</v>
      </c>
      <c r="B28" t="s">
        <v>116</v>
      </c>
      <c r="C28" t="s">
        <v>119</v>
      </c>
      <c r="D28" t="s">
        <v>119</v>
      </c>
      <c r="E28" t="s">
        <v>119</v>
      </c>
    </row>
    <row r="29" spans="1:5" x14ac:dyDescent="0.35">
      <c r="A29">
        <v>28</v>
      </c>
      <c r="B29" t="s">
        <v>120</v>
      </c>
      <c r="C29" t="s">
        <v>122</v>
      </c>
      <c r="D29" t="s">
        <v>122</v>
      </c>
      <c r="E29" t="s">
        <v>122</v>
      </c>
    </row>
    <row r="30" spans="1:5" x14ac:dyDescent="0.35">
      <c r="A30">
        <v>29</v>
      </c>
      <c r="B30" t="s">
        <v>124</v>
      </c>
      <c r="C30" t="s">
        <v>127</v>
      </c>
      <c r="D30" t="s">
        <v>127</v>
      </c>
      <c r="E30" t="s">
        <v>127</v>
      </c>
    </row>
    <row r="31" spans="1:5" x14ac:dyDescent="0.35">
      <c r="A31">
        <v>30</v>
      </c>
      <c r="B31" t="s">
        <v>128</v>
      </c>
      <c r="C31" t="s">
        <v>129</v>
      </c>
      <c r="D31" t="s">
        <v>129</v>
      </c>
      <c r="E31" t="s">
        <v>129</v>
      </c>
    </row>
    <row r="32" spans="1:5" x14ac:dyDescent="0.35">
      <c r="A32">
        <v>31</v>
      </c>
      <c r="B32" t="s">
        <v>131</v>
      </c>
      <c r="C32" t="s">
        <v>134</v>
      </c>
      <c r="D32" t="s">
        <v>134</v>
      </c>
      <c r="E32" t="s">
        <v>234</v>
      </c>
    </row>
    <row r="33" spans="1:5" x14ac:dyDescent="0.35">
      <c r="A33">
        <v>32</v>
      </c>
      <c r="B33" t="s">
        <v>136</v>
      </c>
      <c r="C33" t="s">
        <v>139</v>
      </c>
      <c r="D33" t="s">
        <v>139</v>
      </c>
      <c r="E33" t="s">
        <v>139</v>
      </c>
    </row>
    <row r="34" spans="1:5" x14ac:dyDescent="0.35">
      <c r="A34">
        <v>33</v>
      </c>
      <c r="B34" t="s">
        <v>140</v>
      </c>
      <c r="C34" t="s">
        <v>143</v>
      </c>
      <c r="D34" t="s">
        <v>221</v>
      </c>
      <c r="E34" t="s">
        <v>221</v>
      </c>
    </row>
    <row r="35" spans="1:5" x14ac:dyDescent="0.35">
      <c r="A35">
        <v>34</v>
      </c>
      <c r="B35" t="s">
        <v>145</v>
      </c>
      <c r="C35" t="s">
        <v>147</v>
      </c>
      <c r="D35" t="s">
        <v>147</v>
      </c>
      <c r="E35" t="s">
        <v>147</v>
      </c>
    </row>
    <row r="36" spans="1:5" x14ac:dyDescent="0.35">
      <c r="A36">
        <v>35</v>
      </c>
      <c r="B36" t="s">
        <v>149</v>
      </c>
      <c r="C36" t="s">
        <v>151</v>
      </c>
      <c r="D36" t="s">
        <v>151</v>
      </c>
      <c r="E36" t="s">
        <v>151</v>
      </c>
    </row>
    <row r="37" spans="1:5" x14ac:dyDescent="0.35">
      <c r="A37">
        <v>36</v>
      </c>
      <c r="B37" t="s">
        <v>152</v>
      </c>
      <c r="C37" t="s">
        <v>154</v>
      </c>
      <c r="D37" t="s">
        <v>154</v>
      </c>
      <c r="E37" t="s">
        <v>154</v>
      </c>
    </row>
    <row r="38" spans="1:5" x14ac:dyDescent="0.35">
      <c r="A38">
        <v>37</v>
      </c>
      <c r="B38" t="s">
        <v>156</v>
      </c>
      <c r="C38" t="s">
        <v>158</v>
      </c>
      <c r="D38" t="s">
        <v>158</v>
      </c>
      <c r="E38" t="s">
        <v>158</v>
      </c>
    </row>
    <row r="39" spans="1:5" x14ac:dyDescent="0.35">
      <c r="A39">
        <v>38</v>
      </c>
      <c r="B39" t="s">
        <v>160</v>
      </c>
      <c r="C39" t="s">
        <v>163</v>
      </c>
      <c r="D39" t="s">
        <v>163</v>
      </c>
      <c r="E39" t="s">
        <v>163</v>
      </c>
    </row>
    <row r="40" spans="1:5" x14ac:dyDescent="0.35">
      <c r="A40">
        <v>39</v>
      </c>
      <c r="B40" t="s">
        <v>165</v>
      </c>
      <c r="C40" t="s">
        <v>166</v>
      </c>
      <c r="D40" t="s">
        <v>166</v>
      </c>
      <c r="E40" t="s">
        <v>166</v>
      </c>
    </row>
    <row r="41" spans="1:5" x14ac:dyDescent="0.35">
      <c r="A41">
        <v>40</v>
      </c>
      <c r="B41" t="s">
        <v>167</v>
      </c>
      <c r="C41" t="s">
        <v>169</v>
      </c>
      <c r="D41" t="s">
        <v>169</v>
      </c>
      <c r="E41" t="s">
        <v>169</v>
      </c>
    </row>
    <row r="42" spans="1:5" x14ac:dyDescent="0.35">
      <c r="A42">
        <v>41</v>
      </c>
      <c r="B42" t="s">
        <v>171</v>
      </c>
      <c r="C42" t="s">
        <v>174</v>
      </c>
      <c r="D42" t="s">
        <v>222</v>
      </c>
      <c r="E42" t="s">
        <v>222</v>
      </c>
    </row>
    <row r="43" spans="1:5" x14ac:dyDescent="0.35">
      <c r="A43">
        <v>42</v>
      </c>
      <c r="B43" t="s">
        <v>175</v>
      </c>
      <c r="C43" t="s">
        <v>178</v>
      </c>
      <c r="D43" t="s">
        <v>223</v>
      </c>
      <c r="E43" t="s">
        <v>178</v>
      </c>
    </row>
    <row r="44" spans="1:5" x14ac:dyDescent="0.35">
      <c r="A44">
        <v>43</v>
      </c>
      <c r="B44" t="s">
        <v>179</v>
      </c>
      <c r="C44" t="s">
        <v>181</v>
      </c>
      <c r="D44" t="s">
        <v>224</v>
      </c>
      <c r="E44" t="s">
        <v>224</v>
      </c>
    </row>
    <row r="45" spans="1:5" x14ac:dyDescent="0.35">
      <c r="A45">
        <v>44</v>
      </c>
      <c r="B45" t="s">
        <v>182</v>
      </c>
      <c r="C45" t="s">
        <v>183</v>
      </c>
      <c r="D45" t="s">
        <v>183</v>
      </c>
      <c r="E45" t="s">
        <v>183</v>
      </c>
    </row>
    <row r="46" spans="1:5" x14ac:dyDescent="0.35">
      <c r="A46">
        <v>45</v>
      </c>
      <c r="B46" t="s">
        <v>185</v>
      </c>
      <c r="C46" t="s">
        <v>188</v>
      </c>
      <c r="D46" t="s">
        <v>188</v>
      </c>
      <c r="E46" t="s">
        <v>188</v>
      </c>
    </row>
    <row r="47" spans="1:5" x14ac:dyDescent="0.35">
      <c r="A47">
        <v>46</v>
      </c>
      <c r="B47" t="s">
        <v>190</v>
      </c>
      <c r="C47" t="s">
        <v>192</v>
      </c>
      <c r="D47" t="s">
        <v>225</v>
      </c>
      <c r="E47" t="s">
        <v>225</v>
      </c>
    </row>
    <row r="48" spans="1:5" x14ac:dyDescent="0.35">
      <c r="A48">
        <v>47</v>
      </c>
      <c r="B48" t="s">
        <v>194</v>
      </c>
      <c r="C48" t="s">
        <v>197</v>
      </c>
      <c r="D48" t="s">
        <v>226</v>
      </c>
      <c r="E48" t="s">
        <v>226</v>
      </c>
    </row>
    <row r="49" spans="1:5" x14ac:dyDescent="0.35">
      <c r="A49">
        <v>48</v>
      </c>
      <c r="B49" t="s">
        <v>199</v>
      </c>
      <c r="C49" t="s">
        <v>202</v>
      </c>
      <c r="D49" t="s">
        <v>202</v>
      </c>
      <c r="E49" t="s">
        <v>202</v>
      </c>
    </row>
    <row r="50" spans="1:5" x14ac:dyDescent="0.35">
      <c r="A50">
        <v>49</v>
      </c>
      <c r="B50" t="s">
        <v>204</v>
      </c>
      <c r="C50" t="s">
        <v>206</v>
      </c>
      <c r="D50" t="s">
        <v>206</v>
      </c>
      <c r="E50" t="s">
        <v>206</v>
      </c>
    </row>
    <row r="51" spans="1:5" x14ac:dyDescent="0.35">
      <c r="A51">
        <v>50</v>
      </c>
      <c r="B51" t="s">
        <v>207</v>
      </c>
      <c r="C51" t="s">
        <v>209</v>
      </c>
      <c r="D51" t="s">
        <v>209</v>
      </c>
      <c r="E51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C029-D95C-4323-96DF-4D44ED5A83F7}">
  <dimension ref="A1:J51"/>
  <sheetViews>
    <sheetView workbookViewId="0">
      <selection activeCell="G12" sqref="G12"/>
    </sheetView>
  </sheetViews>
  <sheetFormatPr defaultRowHeight="14.5" x14ac:dyDescent="0.35"/>
  <cols>
    <col min="3" max="3" width="11" bestFit="1" customWidth="1"/>
    <col min="4" max="4" width="12.54296875" bestFit="1" customWidth="1"/>
    <col min="5" max="5" width="7.81640625" bestFit="1" customWidth="1"/>
    <col min="6" max="6" width="14.453125" bestFit="1" customWidth="1"/>
    <col min="7" max="7" width="14.54296875" bestFit="1" customWidth="1"/>
    <col min="8" max="9" width="18.26953125" bestFit="1" customWidth="1"/>
    <col min="10" max="10" width="14.7265625" bestFit="1" customWidth="1"/>
  </cols>
  <sheetData>
    <row r="1" spans="1:10" x14ac:dyDescent="0.35">
      <c r="A1" t="s">
        <v>0</v>
      </c>
      <c r="B1" t="s">
        <v>15</v>
      </c>
      <c r="C1" t="s">
        <v>3</v>
      </c>
      <c r="D1" t="s">
        <v>6</v>
      </c>
      <c r="E1" t="s">
        <v>8</v>
      </c>
      <c r="F1" t="s">
        <v>11</v>
      </c>
      <c r="G1" t="s">
        <v>14</v>
      </c>
      <c r="H1" t="s">
        <v>211</v>
      </c>
      <c r="I1" t="s">
        <v>228</v>
      </c>
      <c r="J1" t="s">
        <v>236</v>
      </c>
    </row>
    <row r="2" spans="1:10" x14ac:dyDescent="0.35">
      <c r="A2">
        <v>1</v>
      </c>
      <c r="B2">
        <v>40</v>
      </c>
      <c r="C2">
        <v>36</v>
      </c>
      <c r="D2">
        <v>36</v>
      </c>
      <c r="E2">
        <v>36</v>
      </c>
      <c r="G2">
        <v>36</v>
      </c>
      <c r="H2">
        <v>36</v>
      </c>
      <c r="I2">
        <v>36</v>
      </c>
      <c r="J2">
        <v>36</v>
      </c>
    </row>
    <row r="3" spans="1:10" x14ac:dyDescent="0.35">
      <c r="A3">
        <v>2</v>
      </c>
      <c r="B3">
        <v>40</v>
      </c>
      <c r="C3">
        <v>36</v>
      </c>
      <c r="D3">
        <v>36</v>
      </c>
      <c r="E3">
        <v>36</v>
      </c>
      <c r="G3">
        <v>36</v>
      </c>
      <c r="H3">
        <v>36</v>
      </c>
      <c r="I3">
        <v>36</v>
      </c>
      <c r="J3">
        <v>36</v>
      </c>
    </row>
    <row r="4" spans="1:10" x14ac:dyDescent="0.35">
      <c r="A4">
        <v>3</v>
      </c>
      <c r="B4">
        <v>40</v>
      </c>
      <c r="C4">
        <v>33</v>
      </c>
      <c r="D4">
        <v>33</v>
      </c>
      <c r="E4">
        <v>33</v>
      </c>
      <c r="G4">
        <v>31</v>
      </c>
      <c r="H4">
        <v>33</v>
      </c>
      <c r="I4">
        <v>33</v>
      </c>
      <c r="J4">
        <v>33</v>
      </c>
    </row>
    <row r="5" spans="1:10" x14ac:dyDescent="0.35">
      <c r="A5">
        <v>4</v>
      </c>
      <c r="B5">
        <v>40</v>
      </c>
      <c r="C5">
        <v>36</v>
      </c>
      <c r="D5">
        <v>36</v>
      </c>
      <c r="E5">
        <v>36</v>
      </c>
      <c r="G5">
        <v>33</v>
      </c>
      <c r="H5">
        <v>36</v>
      </c>
      <c r="I5">
        <v>36</v>
      </c>
      <c r="J5">
        <v>36</v>
      </c>
    </row>
    <row r="6" spans="1:10" x14ac:dyDescent="0.35">
      <c r="A6">
        <v>5</v>
      </c>
      <c r="B6">
        <v>40</v>
      </c>
      <c r="C6">
        <v>34</v>
      </c>
      <c r="D6">
        <v>34</v>
      </c>
      <c r="E6">
        <v>34</v>
      </c>
      <c r="G6">
        <v>34</v>
      </c>
      <c r="H6">
        <v>34</v>
      </c>
      <c r="I6">
        <v>34</v>
      </c>
      <c r="J6">
        <v>34</v>
      </c>
    </row>
    <row r="7" spans="1:10" x14ac:dyDescent="0.35">
      <c r="A7">
        <v>6</v>
      </c>
      <c r="B7">
        <v>40</v>
      </c>
      <c r="C7">
        <v>36</v>
      </c>
      <c r="D7">
        <v>36</v>
      </c>
      <c r="E7">
        <v>36</v>
      </c>
      <c r="G7">
        <v>36</v>
      </c>
      <c r="H7">
        <v>36</v>
      </c>
      <c r="I7">
        <v>36</v>
      </c>
      <c r="J7">
        <v>36</v>
      </c>
    </row>
    <row r="8" spans="1:10" x14ac:dyDescent="0.35">
      <c r="A8">
        <v>7</v>
      </c>
      <c r="B8">
        <v>40</v>
      </c>
      <c r="C8">
        <v>34</v>
      </c>
      <c r="D8">
        <v>34</v>
      </c>
      <c r="E8">
        <v>34</v>
      </c>
      <c r="G8">
        <v>29</v>
      </c>
      <c r="H8">
        <v>34</v>
      </c>
      <c r="I8">
        <v>34</v>
      </c>
      <c r="J8">
        <v>34</v>
      </c>
    </row>
    <row r="9" spans="1:10" x14ac:dyDescent="0.35">
      <c r="A9">
        <v>8</v>
      </c>
      <c r="B9">
        <v>40</v>
      </c>
      <c r="C9">
        <v>33</v>
      </c>
      <c r="D9">
        <v>33</v>
      </c>
      <c r="E9">
        <v>33</v>
      </c>
      <c r="G9">
        <v>31</v>
      </c>
      <c r="H9">
        <v>33</v>
      </c>
      <c r="I9">
        <v>33</v>
      </c>
      <c r="J9">
        <v>33</v>
      </c>
    </row>
    <row r="10" spans="1:10" x14ac:dyDescent="0.35">
      <c r="A10">
        <v>9</v>
      </c>
      <c r="B10">
        <v>40</v>
      </c>
      <c r="C10">
        <v>33</v>
      </c>
      <c r="D10">
        <v>33</v>
      </c>
      <c r="E10">
        <v>33</v>
      </c>
      <c r="G10">
        <v>29</v>
      </c>
      <c r="H10">
        <v>32</v>
      </c>
      <c r="I10">
        <v>32</v>
      </c>
      <c r="J10">
        <v>32</v>
      </c>
    </row>
    <row r="11" spans="1:10" x14ac:dyDescent="0.35">
      <c r="A11">
        <v>10</v>
      </c>
      <c r="B11">
        <v>40</v>
      </c>
      <c r="C11">
        <v>36</v>
      </c>
      <c r="D11">
        <v>36</v>
      </c>
      <c r="E11">
        <v>36</v>
      </c>
      <c r="G11">
        <v>35</v>
      </c>
      <c r="H11">
        <v>36</v>
      </c>
      <c r="I11">
        <v>36</v>
      </c>
      <c r="J11">
        <v>36</v>
      </c>
    </row>
    <row r="12" spans="1:10" x14ac:dyDescent="0.35">
      <c r="A12">
        <v>11</v>
      </c>
      <c r="B12">
        <v>40</v>
      </c>
      <c r="C12">
        <v>33</v>
      </c>
      <c r="D12">
        <v>33</v>
      </c>
      <c r="E12">
        <v>33</v>
      </c>
      <c r="G12">
        <v>33</v>
      </c>
      <c r="H12">
        <v>33</v>
      </c>
      <c r="I12">
        <v>33</v>
      </c>
      <c r="J12">
        <v>33</v>
      </c>
    </row>
    <row r="13" spans="1:10" x14ac:dyDescent="0.35">
      <c r="A13">
        <v>12</v>
      </c>
      <c r="B13">
        <v>40</v>
      </c>
      <c r="D13">
        <v>38</v>
      </c>
      <c r="E13">
        <v>38</v>
      </c>
      <c r="G13">
        <v>36</v>
      </c>
      <c r="H13">
        <v>38</v>
      </c>
      <c r="I13">
        <v>37</v>
      </c>
      <c r="J13">
        <v>38</v>
      </c>
    </row>
    <row r="14" spans="1:10" x14ac:dyDescent="0.35">
      <c r="A14">
        <v>13</v>
      </c>
      <c r="B14">
        <v>40</v>
      </c>
      <c r="C14">
        <v>32</v>
      </c>
      <c r="D14">
        <v>31.999999999999901</v>
      </c>
      <c r="E14">
        <v>32</v>
      </c>
      <c r="G14">
        <v>31</v>
      </c>
      <c r="H14">
        <v>31</v>
      </c>
      <c r="I14">
        <v>32</v>
      </c>
      <c r="J14">
        <v>32</v>
      </c>
    </row>
    <row r="15" spans="1:10" x14ac:dyDescent="0.35">
      <c r="A15">
        <v>14</v>
      </c>
      <c r="B15">
        <v>40</v>
      </c>
      <c r="C15">
        <v>35</v>
      </c>
      <c r="D15">
        <v>35</v>
      </c>
      <c r="E15">
        <v>35</v>
      </c>
      <c r="G15">
        <v>34</v>
      </c>
      <c r="H15">
        <v>35</v>
      </c>
      <c r="I15">
        <v>35</v>
      </c>
      <c r="J15">
        <v>35</v>
      </c>
    </row>
    <row r="16" spans="1:10" x14ac:dyDescent="0.35">
      <c r="A16">
        <v>15</v>
      </c>
      <c r="B16">
        <v>40</v>
      </c>
      <c r="C16">
        <v>38</v>
      </c>
      <c r="D16">
        <v>38</v>
      </c>
      <c r="E16">
        <v>38</v>
      </c>
      <c r="G16">
        <v>37</v>
      </c>
      <c r="H16">
        <v>37</v>
      </c>
      <c r="I16">
        <v>38</v>
      </c>
      <c r="J16">
        <v>38</v>
      </c>
    </row>
    <row r="17" spans="1:10" x14ac:dyDescent="0.35">
      <c r="A17">
        <v>16</v>
      </c>
      <c r="B17">
        <v>40</v>
      </c>
      <c r="C17">
        <v>36</v>
      </c>
      <c r="D17">
        <v>36</v>
      </c>
      <c r="E17">
        <v>36</v>
      </c>
      <c r="G17">
        <v>36</v>
      </c>
      <c r="H17">
        <v>36</v>
      </c>
      <c r="I17">
        <v>36</v>
      </c>
      <c r="J17">
        <v>36</v>
      </c>
    </row>
    <row r="18" spans="1:10" x14ac:dyDescent="0.35">
      <c r="A18">
        <v>17</v>
      </c>
      <c r="B18">
        <v>40</v>
      </c>
      <c r="D18">
        <v>39</v>
      </c>
      <c r="E18">
        <v>39</v>
      </c>
      <c r="F18">
        <v>39</v>
      </c>
      <c r="G18">
        <v>39</v>
      </c>
      <c r="H18">
        <v>39</v>
      </c>
      <c r="I18">
        <v>39</v>
      </c>
      <c r="J18">
        <v>39</v>
      </c>
    </row>
    <row r="19" spans="1:10" x14ac:dyDescent="0.35">
      <c r="A19">
        <v>18</v>
      </c>
      <c r="B19">
        <v>40</v>
      </c>
      <c r="C19">
        <v>37</v>
      </c>
      <c r="D19">
        <v>37</v>
      </c>
      <c r="E19">
        <v>37</v>
      </c>
      <c r="G19">
        <v>36</v>
      </c>
      <c r="H19">
        <v>37</v>
      </c>
      <c r="I19">
        <v>37</v>
      </c>
      <c r="J19">
        <v>37</v>
      </c>
    </row>
    <row r="20" spans="1:10" x14ac:dyDescent="0.35">
      <c r="A20">
        <v>19</v>
      </c>
      <c r="B20">
        <v>40</v>
      </c>
      <c r="C20">
        <v>35</v>
      </c>
      <c r="D20">
        <v>35</v>
      </c>
      <c r="E20">
        <v>35</v>
      </c>
      <c r="G20">
        <v>34</v>
      </c>
      <c r="H20">
        <v>35</v>
      </c>
      <c r="I20">
        <v>35</v>
      </c>
      <c r="J20">
        <v>35</v>
      </c>
    </row>
    <row r="21" spans="1:10" x14ac:dyDescent="0.35">
      <c r="A21">
        <v>20</v>
      </c>
      <c r="B21">
        <v>40</v>
      </c>
      <c r="C21">
        <v>29</v>
      </c>
      <c r="D21">
        <v>29</v>
      </c>
      <c r="E21">
        <v>29</v>
      </c>
      <c r="G21">
        <v>28</v>
      </c>
      <c r="H21">
        <v>28</v>
      </c>
      <c r="I21">
        <v>28</v>
      </c>
      <c r="J21">
        <v>28</v>
      </c>
    </row>
    <row r="22" spans="1:10" x14ac:dyDescent="0.35">
      <c r="A22">
        <v>21</v>
      </c>
      <c r="B22">
        <v>40</v>
      </c>
      <c r="C22">
        <v>31</v>
      </c>
      <c r="D22">
        <v>31</v>
      </c>
      <c r="E22">
        <v>31</v>
      </c>
      <c r="G22">
        <v>29</v>
      </c>
      <c r="H22">
        <v>31</v>
      </c>
      <c r="I22">
        <v>31</v>
      </c>
      <c r="J22">
        <v>31</v>
      </c>
    </row>
    <row r="23" spans="1:10" x14ac:dyDescent="0.35">
      <c r="A23">
        <v>22</v>
      </c>
      <c r="B23">
        <v>40</v>
      </c>
      <c r="C23">
        <v>38</v>
      </c>
      <c r="D23">
        <v>38</v>
      </c>
      <c r="E23">
        <v>38</v>
      </c>
      <c r="G23">
        <v>36</v>
      </c>
      <c r="H23">
        <v>37</v>
      </c>
      <c r="I23">
        <v>37</v>
      </c>
      <c r="J23">
        <v>38</v>
      </c>
    </row>
    <row r="24" spans="1:10" x14ac:dyDescent="0.35">
      <c r="A24">
        <v>23</v>
      </c>
      <c r="B24">
        <v>40</v>
      </c>
      <c r="C24">
        <v>38</v>
      </c>
      <c r="D24">
        <v>38</v>
      </c>
      <c r="E24">
        <v>38</v>
      </c>
      <c r="G24">
        <v>35</v>
      </c>
      <c r="H24">
        <v>36</v>
      </c>
      <c r="I24">
        <v>36</v>
      </c>
      <c r="J24">
        <v>38</v>
      </c>
    </row>
    <row r="25" spans="1:10" x14ac:dyDescent="0.35">
      <c r="A25">
        <v>24</v>
      </c>
      <c r="B25">
        <v>40</v>
      </c>
      <c r="C25">
        <v>34</v>
      </c>
      <c r="D25">
        <v>34</v>
      </c>
      <c r="E25">
        <v>34</v>
      </c>
      <c r="G25">
        <v>31</v>
      </c>
      <c r="H25">
        <v>34</v>
      </c>
      <c r="I25">
        <v>34</v>
      </c>
      <c r="J25">
        <v>34</v>
      </c>
    </row>
    <row r="26" spans="1:10" x14ac:dyDescent="0.35">
      <c r="A26">
        <v>25</v>
      </c>
      <c r="B26">
        <v>40</v>
      </c>
      <c r="C26">
        <v>34</v>
      </c>
      <c r="D26">
        <v>34</v>
      </c>
      <c r="E26">
        <v>34</v>
      </c>
      <c r="F26">
        <v>34</v>
      </c>
      <c r="G26">
        <v>34</v>
      </c>
      <c r="H26">
        <v>34</v>
      </c>
      <c r="I26">
        <v>34</v>
      </c>
      <c r="J26">
        <v>34</v>
      </c>
    </row>
    <row r="27" spans="1:10" x14ac:dyDescent="0.35">
      <c r="A27">
        <v>26</v>
      </c>
      <c r="B27">
        <v>40</v>
      </c>
      <c r="C27">
        <v>38</v>
      </c>
      <c r="D27">
        <v>38</v>
      </c>
      <c r="E27">
        <v>38</v>
      </c>
      <c r="G27">
        <v>34</v>
      </c>
      <c r="H27">
        <v>37</v>
      </c>
      <c r="I27">
        <v>37</v>
      </c>
      <c r="J27">
        <v>38</v>
      </c>
    </row>
    <row r="28" spans="1:10" x14ac:dyDescent="0.35">
      <c r="A28">
        <v>27</v>
      </c>
      <c r="B28">
        <v>40</v>
      </c>
      <c r="C28">
        <v>36</v>
      </c>
      <c r="D28">
        <v>36</v>
      </c>
      <c r="E28">
        <v>36</v>
      </c>
      <c r="G28">
        <v>33</v>
      </c>
      <c r="H28">
        <v>35</v>
      </c>
      <c r="I28">
        <v>35</v>
      </c>
      <c r="J28">
        <v>35</v>
      </c>
    </row>
    <row r="29" spans="1:10" x14ac:dyDescent="0.35">
      <c r="A29">
        <v>28</v>
      </c>
      <c r="B29">
        <v>40</v>
      </c>
      <c r="C29">
        <v>33</v>
      </c>
      <c r="D29">
        <v>33</v>
      </c>
      <c r="E29">
        <v>33</v>
      </c>
      <c r="G29">
        <v>31</v>
      </c>
      <c r="H29">
        <v>33</v>
      </c>
      <c r="I29">
        <v>33</v>
      </c>
      <c r="J29">
        <v>33</v>
      </c>
    </row>
    <row r="30" spans="1:10" x14ac:dyDescent="0.35">
      <c r="A30">
        <v>29</v>
      </c>
      <c r="B30">
        <v>40</v>
      </c>
      <c r="C30">
        <v>33</v>
      </c>
      <c r="D30">
        <v>33</v>
      </c>
      <c r="E30">
        <v>33</v>
      </c>
      <c r="G30">
        <v>32</v>
      </c>
      <c r="H30">
        <v>32</v>
      </c>
      <c r="I30">
        <v>32</v>
      </c>
      <c r="J30">
        <v>32</v>
      </c>
    </row>
    <row r="31" spans="1:10" x14ac:dyDescent="0.35">
      <c r="A31">
        <v>30</v>
      </c>
      <c r="B31">
        <v>40</v>
      </c>
      <c r="C31">
        <v>32</v>
      </c>
      <c r="D31">
        <v>32</v>
      </c>
      <c r="E31">
        <v>32</v>
      </c>
      <c r="G31">
        <v>32</v>
      </c>
      <c r="H31">
        <v>32</v>
      </c>
      <c r="I31">
        <v>32</v>
      </c>
      <c r="J31">
        <v>32</v>
      </c>
    </row>
    <row r="32" spans="1:10" x14ac:dyDescent="0.35">
      <c r="A32">
        <v>31</v>
      </c>
      <c r="B32">
        <v>40</v>
      </c>
      <c r="C32">
        <v>38</v>
      </c>
      <c r="D32">
        <v>38</v>
      </c>
      <c r="E32">
        <v>38</v>
      </c>
      <c r="G32">
        <v>35</v>
      </c>
      <c r="H32">
        <v>38</v>
      </c>
      <c r="I32">
        <v>38</v>
      </c>
      <c r="J32">
        <v>38</v>
      </c>
    </row>
    <row r="33" spans="1:10" x14ac:dyDescent="0.35">
      <c r="A33">
        <v>32</v>
      </c>
      <c r="B33">
        <v>40</v>
      </c>
      <c r="C33">
        <v>34</v>
      </c>
      <c r="D33">
        <v>34</v>
      </c>
      <c r="E33">
        <v>34</v>
      </c>
      <c r="G33">
        <v>33</v>
      </c>
      <c r="H33">
        <v>34</v>
      </c>
      <c r="I33">
        <v>34</v>
      </c>
      <c r="J33">
        <v>34</v>
      </c>
    </row>
    <row r="34" spans="1:10" x14ac:dyDescent="0.35">
      <c r="A34">
        <v>33</v>
      </c>
      <c r="B34">
        <v>40</v>
      </c>
      <c r="C34">
        <v>33</v>
      </c>
      <c r="D34">
        <v>33</v>
      </c>
      <c r="E34">
        <v>33</v>
      </c>
      <c r="G34">
        <v>32</v>
      </c>
      <c r="H34">
        <v>32</v>
      </c>
      <c r="I34">
        <v>32</v>
      </c>
      <c r="J34">
        <v>32</v>
      </c>
    </row>
    <row r="35" spans="1:10" x14ac:dyDescent="0.35">
      <c r="A35">
        <v>34</v>
      </c>
      <c r="B35">
        <v>40</v>
      </c>
      <c r="C35">
        <v>34</v>
      </c>
      <c r="D35">
        <v>34</v>
      </c>
      <c r="E35">
        <v>34</v>
      </c>
      <c r="G35">
        <v>33</v>
      </c>
      <c r="H35">
        <v>34</v>
      </c>
      <c r="I35">
        <v>34</v>
      </c>
      <c r="J35">
        <v>34</v>
      </c>
    </row>
    <row r="36" spans="1:10" x14ac:dyDescent="0.35">
      <c r="A36">
        <v>35</v>
      </c>
      <c r="B36">
        <v>40</v>
      </c>
      <c r="C36">
        <v>26</v>
      </c>
      <c r="D36">
        <v>26</v>
      </c>
      <c r="E36">
        <v>26</v>
      </c>
      <c r="G36">
        <v>24</v>
      </c>
      <c r="H36">
        <v>25</v>
      </c>
      <c r="I36">
        <v>25</v>
      </c>
      <c r="J36">
        <v>25</v>
      </c>
    </row>
    <row r="37" spans="1:10" x14ac:dyDescent="0.35">
      <c r="A37">
        <v>36</v>
      </c>
      <c r="B37">
        <v>40</v>
      </c>
      <c r="C37">
        <v>31</v>
      </c>
      <c r="D37">
        <v>31</v>
      </c>
      <c r="E37">
        <v>31</v>
      </c>
      <c r="G37">
        <v>31</v>
      </c>
      <c r="H37">
        <v>31</v>
      </c>
      <c r="I37">
        <v>31</v>
      </c>
      <c r="J37">
        <v>31</v>
      </c>
    </row>
    <row r="38" spans="1:10" x14ac:dyDescent="0.35">
      <c r="A38">
        <v>37</v>
      </c>
      <c r="B38">
        <v>40</v>
      </c>
      <c r="C38">
        <v>31</v>
      </c>
      <c r="D38">
        <v>31</v>
      </c>
      <c r="E38">
        <v>31</v>
      </c>
      <c r="G38">
        <v>26</v>
      </c>
      <c r="H38">
        <v>31</v>
      </c>
      <c r="I38">
        <v>31</v>
      </c>
      <c r="J38">
        <v>31</v>
      </c>
    </row>
    <row r="39" spans="1:10" x14ac:dyDescent="0.35">
      <c r="A39">
        <v>38</v>
      </c>
      <c r="B39">
        <v>40</v>
      </c>
      <c r="C39">
        <v>25</v>
      </c>
      <c r="D39">
        <v>25</v>
      </c>
      <c r="E39">
        <v>25</v>
      </c>
      <c r="G39">
        <v>14</v>
      </c>
      <c r="H39">
        <v>25</v>
      </c>
      <c r="I39">
        <v>25</v>
      </c>
      <c r="J39">
        <v>25</v>
      </c>
    </row>
    <row r="40" spans="1:10" x14ac:dyDescent="0.35">
      <c r="A40">
        <v>39</v>
      </c>
      <c r="B40">
        <v>40</v>
      </c>
      <c r="C40">
        <v>29</v>
      </c>
      <c r="D40">
        <v>29</v>
      </c>
      <c r="E40">
        <v>29</v>
      </c>
      <c r="G40">
        <v>29</v>
      </c>
      <c r="H40">
        <v>29</v>
      </c>
      <c r="I40">
        <v>29</v>
      </c>
      <c r="J40">
        <v>29</v>
      </c>
    </row>
    <row r="41" spans="1:10" x14ac:dyDescent="0.35">
      <c r="A41">
        <v>40</v>
      </c>
      <c r="B41">
        <v>40</v>
      </c>
      <c r="C41">
        <v>33</v>
      </c>
      <c r="D41">
        <v>33</v>
      </c>
      <c r="E41">
        <v>33</v>
      </c>
      <c r="G41">
        <v>30</v>
      </c>
      <c r="H41">
        <v>32</v>
      </c>
      <c r="I41">
        <v>32</v>
      </c>
      <c r="J41">
        <v>32</v>
      </c>
    </row>
    <row r="42" spans="1:10" x14ac:dyDescent="0.35">
      <c r="A42">
        <v>41</v>
      </c>
      <c r="B42">
        <v>40</v>
      </c>
      <c r="C42">
        <v>28</v>
      </c>
      <c r="D42">
        <v>28</v>
      </c>
      <c r="E42">
        <v>28</v>
      </c>
      <c r="G42">
        <v>26</v>
      </c>
      <c r="H42">
        <v>27</v>
      </c>
      <c r="I42">
        <v>27</v>
      </c>
      <c r="J42">
        <v>27</v>
      </c>
    </row>
    <row r="43" spans="1:10" x14ac:dyDescent="0.35">
      <c r="A43">
        <v>42</v>
      </c>
      <c r="B43">
        <v>40</v>
      </c>
      <c r="C43">
        <v>35</v>
      </c>
      <c r="D43">
        <v>35</v>
      </c>
      <c r="E43">
        <v>35</v>
      </c>
      <c r="G43">
        <v>32</v>
      </c>
      <c r="H43">
        <v>34</v>
      </c>
      <c r="I43">
        <v>33</v>
      </c>
      <c r="J43">
        <v>34</v>
      </c>
    </row>
    <row r="44" spans="1:10" x14ac:dyDescent="0.35">
      <c r="A44">
        <v>43</v>
      </c>
      <c r="B44">
        <v>40</v>
      </c>
      <c r="C44">
        <v>33</v>
      </c>
      <c r="D44">
        <v>33</v>
      </c>
      <c r="E44">
        <v>33</v>
      </c>
      <c r="G44">
        <v>30</v>
      </c>
      <c r="H44">
        <v>32</v>
      </c>
      <c r="I44">
        <v>33</v>
      </c>
      <c r="J44">
        <v>33</v>
      </c>
    </row>
    <row r="45" spans="1:10" x14ac:dyDescent="0.35">
      <c r="A45">
        <v>44</v>
      </c>
      <c r="B45">
        <v>40</v>
      </c>
      <c r="C45">
        <v>32</v>
      </c>
      <c r="D45">
        <v>32</v>
      </c>
      <c r="E45">
        <v>32</v>
      </c>
      <c r="G45">
        <v>32</v>
      </c>
      <c r="H45">
        <v>32</v>
      </c>
      <c r="I45">
        <v>32</v>
      </c>
      <c r="J45">
        <v>32</v>
      </c>
    </row>
    <row r="46" spans="1:10" x14ac:dyDescent="0.35">
      <c r="A46">
        <v>45</v>
      </c>
      <c r="B46">
        <v>40</v>
      </c>
      <c r="C46">
        <v>29</v>
      </c>
      <c r="D46">
        <v>29</v>
      </c>
      <c r="E46">
        <v>29</v>
      </c>
      <c r="G46">
        <v>24</v>
      </c>
      <c r="H46">
        <v>29</v>
      </c>
      <c r="I46">
        <v>29</v>
      </c>
      <c r="J46">
        <v>29</v>
      </c>
    </row>
    <row r="47" spans="1:10" x14ac:dyDescent="0.35">
      <c r="A47">
        <v>46</v>
      </c>
      <c r="B47">
        <v>40</v>
      </c>
      <c r="C47">
        <v>35</v>
      </c>
      <c r="D47">
        <v>35</v>
      </c>
      <c r="E47">
        <v>35</v>
      </c>
      <c r="G47">
        <v>33</v>
      </c>
      <c r="H47">
        <v>33</v>
      </c>
      <c r="I47">
        <v>35</v>
      </c>
      <c r="J47">
        <v>35</v>
      </c>
    </row>
    <row r="48" spans="1:10" x14ac:dyDescent="0.35">
      <c r="A48">
        <v>47</v>
      </c>
      <c r="B48">
        <v>40</v>
      </c>
      <c r="C48">
        <v>32</v>
      </c>
      <c r="D48">
        <v>32</v>
      </c>
      <c r="E48">
        <v>32</v>
      </c>
      <c r="G48">
        <v>31</v>
      </c>
      <c r="H48">
        <v>31</v>
      </c>
      <c r="I48">
        <v>32</v>
      </c>
      <c r="J48">
        <v>32</v>
      </c>
    </row>
    <row r="49" spans="1:10" x14ac:dyDescent="0.35">
      <c r="A49">
        <v>48</v>
      </c>
      <c r="B49">
        <v>40</v>
      </c>
      <c r="C49">
        <v>23</v>
      </c>
      <c r="D49">
        <v>23</v>
      </c>
      <c r="E49">
        <v>23</v>
      </c>
      <c r="G49">
        <v>19</v>
      </c>
      <c r="H49">
        <v>23</v>
      </c>
      <c r="I49">
        <v>23</v>
      </c>
      <c r="J49">
        <v>23</v>
      </c>
    </row>
    <row r="50" spans="1:10" x14ac:dyDescent="0.35">
      <c r="A50">
        <v>49</v>
      </c>
      <c r="B50">
        <v>40</v>
      </c>
      <c r="C50">
        <v>25</v>
      </c>
      <c r="D50">
        <v>25</v>
      </c>
      <c r="E50">
        <v>25</v>
      </c>
      <c r="G50">
        <v>19</v>
      </c>
      <c r="H50">
        <v>25</v>
      </c>
      <c r="I50">
        <v>25</v>
      </c>
      <c r="J50">
        <v>25</v>
      </c>
    </row>
    <row r="51" spans="1:10" x14ac:dyDescent="0.35">
      <c r="A51">
        <v>50</v>
      </c>
      <c r="B51">
        <v>40</v>
      </c>
      <c r="C51">
        <v>31</v>
      </c>
      <c r="D51">
        <v>31</v>
      </c>
      <c r="E51">
        <v>31</v>
      </c>
      <c r="G51">
        <v>29</v>
      </c>
      <c r="H51">
        <v>31</v>
      </c>
      <c r="I51">
        <v>31</v>
      </c>
      <c r="J51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8E63-407A-471A-9BB2-C7B41718B62D}">
  <dimension ref="A1:I51"/>
  <sheetViews>
    <sheetView topLeftCell="A28" workbookViewId="0">
      <selection activeCell="A2" sqref="A2:I51"/>
    </sheetView>
  </sheetViews>
  <sheetFormatPr defaultRowHeight="14.5" x14ac:dyDescent="0.35"/>
  <cols>
    <col min="2" max="3" width="10.54296875" bestFit="1" customWidth="1"/>
    <col min="4" max="4" width="9.54296875" bestFit="1" customWidth="1"/>
    <col min="5" max="5" width="10.54296875" bestFit="1" customWidth="1"/>
    <col min="6" max="6" width="9.453125" bestFit="1" customWidth="1"/>
    <col min="7" max="8" width="14.453125" bestFit="1" customWidth="1"/>
    <col min="9" max="9" width="9.453125" bestFit="1" customWidth="1"/>
  </cols>
  <sheetData>
    <row r="1" spans="1:9" x14ac:dyDescent="0.35">
      <c r="A1" t="s">
        <v>0</v>
      </c>
      <c r="B1" t="s">
        <v>1</v>
      </c>
      <c r="C1" t="s">
        <v>4</v>
      </c>
      <c r="D1" t="s">
        <v>7</v>
      </c>
      <c r="E1" t="s">
        <v>9</v>
      </c>
      <c r="F1" t="s">
        <v>12</v>
      </c>
      <c r="G1" t="s">
        <v>212</v>
      </c>
      <c r="H1" t="s">
        <v>229</v>
      </c>
      <c r="I1" t="s">
        <v>237</v>
      </c>
    </row>
    <row r="2" spans="1:9" x14ac:dyDescent="0.35">
      <c r="A2">
        <v>1</v>
      </c>
      <c r="B2" s="1">
        <v>41355.2283542156</v>
      </c>
      <c r="C2" s="1">
        <v>60.771632432937601</v>
      </c>
      <c r="D2" s="1">
        <v>270.91339325904801</v>
      </c>
      <c r="E2" s="1">
        <v>86400.129969119997</v>
      </c>
      <c r="F2" s="1">
        <v>5.8391094207763602E-3</v>
      </c>
      <c r="G2" s="1">
        <v>0.32947918400009202</v>
      </c>
      <c r="H2" s="1">
        <v>3.94191441800012</v>
      </c>
      <c r="I2" s="1">
        <v>11.0907991600033</v>
      </c>
    </row>
    <row r="3" spans="1:9" x14ac:dyDescent="0.35">
      <c r="A3">
        <v>2</v>
      </c>
      <c r="B3" s="1">
        <v>43866.964335918397</v>
      </c>
      <c r="C3" s="1">
        <v>57.756932735443101</v>
      </c>
      <c r="D3" s="1">
        <v>187.91967535018901</v>
      </c>
      <c r="E3" s="1">
        <v>86400.254833221406</v>
      </c>
      <c r="F3" s="1">
        <v>4.7655105590820304E-3</v>
      </c>
      <c r="G3" s="1">
        <v>0.397073467999916</v>
      </c>
      <c r="H3" s="1">
        <v>5.6322055990003701</v>
      </c>
      <c r="I3" s="1">
        <v>9.9376720649997807</v>
      </c>
    </row>
    <row r="4" spans="1:9" x14ac:dyDescent="0.35">
      <c r="A4">
        <v>3</v>
      </c>
      <c r="B4" s="1">
        <v>453.44278931617703</v>
      </c>
      <c r="C4" s="1">
        <v>47.695116281509399</v>
      </c>
      <c r="D4" s="1">
        <v>196.83315134048399</v>
      </c>
      <c r="E4" s="1">
        <v>86400.139185190201</v>
      </c>
      <c r="F4" s="1">
        <v>5.6414604187011701E-3</v>
      </c>
      <c r="G4" s="1">
        <v>0.37904542099999999</v>
      </c>
      <c r="H4" s="1">
        <v>1.0835867760006199</v>
      </c>
      <c r="I4" s="1">
        <v>2.2588137320017201</v>
      </c>
    </row>
    <row r="5" spans="1:9" x14ac:dyDescent="0.35">
      <c r="A5">
        <v>4</v>
      </c>
      <c r="B5" s="1">
        <v>396.46075916290198</v>
      </c>
      <c r="C5" s="1">
        <v>51.4951264858245</v>
      </c>
      <c r="D5" s="1">
        <v>215.09952902793799</v>
      </c>
      <c r="E5" s="1">
        <v>86400.1290633678</v>
      </c>
      <c r="F5" s="1">
        <v>5.5739879608154297E-3</v>
      </c>
      <c r="G5" s="1">
        <v>0.38748146400007499</v>
      </c>
      <c r="H5" s="1">
        <v>1.6170077950000601</v>
      </c>
      <c r="I5" s="1">
        <v>1.7681996000028399</v>
      </c>
    </row>
    <row r="6" spans="1:9" x14ac:dyDescent="0.35">
      <c r="A6">
        <v>5</v>
      </c>
      <c r="B6" s="1">
        <v>4296.8034508228302</v>
      </c>
      <c r="C6" s="1">
        <v>44.4875199794769</v>
      </c>
      <c r="D6" s="1">
        <v>188.74511742591801</v>
      </c>
      <c r="E6" s="1">
        <v>86400.489632844896</v>
      </c>
      <c r="F6" s="1">
        <v>5.0759315490722604E-3</v>
      </c>
      <c r="G6" s="1">
        <v>0.67830245599998296</v>
      </c>
      <c r="H6" s="1">
        <v>2.4201189159994101</v>
      </c>
      <c r="I6" s="1">
        <v>2.6625565289978099</v>
      </c>
    </row>
    <row r="7" spans="1:9" x14ac:dyDescent="0.35">
      <c r="A7">
        <v>6</v>
      </c>
      <c r="B7" s="1">
        <v>2946.5776097774501</v>
      </c>
      <c r="C7" s="1">
        <v>45.887658596038797</v>
      </c>
      <c r="D7" s="1">
        <v>111.08167362213101</v>
      </c>
      <c r="E7" s="1">
        <v>86400.133324861497</v>
      </c>
      <c r="F7" s="1">
        <v>4.7135353088378898E-3</v>
      </c>
      <c r="G7" s="1">
        <v>1.0738597339998199</v>
      </c>
      <c r="H7" s="1">
        <v>6.2291824710000503</v>
      </c>
      <c r="I7" s="1">
        <v>12.4987078349986</v>
      </c>
    </row>
    <row r="8" spans="1:9" x14ac:dyDescent="0.35">
      <c r="A8">
        <v>7</v>
      </c>
      <c r="B8" s="1">
        <v>1297.5956439971901</v>
      </c>
      <c r="C8" s="1">
        <v>77.707883358001695</v>
      </c>
      <c r="D8" s="1">
        <v>256.97025418281498</v>
      </c>
      <c r="E8" s="1">
        <v>86400.128589868502</v>
      </c>
      <c r="F8" s="1">
        <v>5.3551197052001901E-3</v>
      </c>
      <c r="G8" s="1">
        <v>0.50045927700011805</v>
      </c>
      <c r="H8" s="1">
        <v>3.9423302899995099</v>
      </c>
      <c r="I8" s="1">
        <v>7.0397920709983701</v>
      </c>
    </row>
    <row r="9" spans="1:9" x14ac:dyDescent="0.35">
      <c r="A9">
        <v>8</v>
      </c>
      <c r="B9" s="1">
        <v>362.63930082321099</v>
      </c>
      <c r="C9" s="1">
        <v>78.8139390945434</v>
      </c>
      <c r="D9" s="1">
        <v>297.10240054130497</v>
      </c>
      <c r="E9" s="1">
        <v>86400.132736921296</v>
      </c>
      <c r="F9" s="1">
        <v>4.8964023590087804E-3</v>
      </c>
      <c r="G9" s="1">
        <v>0.46128966400010502</v>
      </c>
      <c r="H9" s="1">
        <v>0.94218033300057802</v>
      </c>
      <c r="I9" s="1">
        <v>1.2337920039972201</v>
      </c>
    </row>
    <row r="10" spans="1:9" x14ac:dyDescent="0.35">
      <c r="A10">
        <v>9</v>
      </c>
      <c r="B10" s="1">
        <v>471.46557950973499</v>
      </c>
      <c r="C10" s="1">
        <v>77.797639846801701</v>
      </c>
      <c r="D10" s="1">
        <v>244.49754166603</v>
      </c>
      <c r="E10" s="1">
        <v>86400.1265144348</v>
      </c>
      <c r="F10" s="1">
        <v>4.8739910125732396E-3</v>
      </c>
      <c r="G10" s="1">
        <v>0.51131992400019</v>
      </c>
      <c r="H10" s="1">
        <v>3.0247513859994699</v>
      </c>
      <c r="I10" s="1">
        <v>5.0250078690005404</v>
      </c>
    </row>
    <row r="11" spans="1:9" x14ac:dyDescent="0.35">
      <c r="A11">
        <v>10</v>
      </c>
      <c r="B11" s="1">
        <v>434.91103124618502</v>
      </c>
      <c r="C11" s="1">
        <v>51.784494161605799</v>
      </c>
      <c r="D11" s="1">
        <v>268.26836252212502</v>
      </c>
      <c r="E11" s="1">
        <v>86400.137657165498</v>
      </c>
      <c r="F11" s="1">
        <v>5.3925514221191398E-3</v>
      </c>
      <c r="G11" s="1">
        <v>0.40904918099999998</v>
      </c>
      <c r="H11" s="1">
        <v>3.70733217999986</v>
      </c>
      <c r="I11" s="1">
        <v>5.2614428929991801</v>
      </c>
    </row>
    <row r="12" spans="1:9" x14ac:dyDescent="0.35">
      <c r="A12">
        <v>11</v>
      </c>
      <c r="B12" s="1">
        <v>236.19271969795199</v>
      </c>
      <c r="C12" s="1">
        <v>51.336097240447998</v>
      </c>
      <c r="D12" s="1">
        <v>230.964210748672</v>
      </c>
      <c r="E12" s="1">
        <v>86400.596881627993</v>
      </c>
      <c r="F12" s="1">
        <v>4.2402744293212804E-3</v>
      </c>
      <c r="G12" s="1">
        <v>0.32831750099990098</v>
      </c>
      <c r="H12" s="1">
        <v>1.97612930499963</v>
      </c>
      <c r="I12" s="1">
        <v>4.5531806290018704</v>
      </c>
    </row>
    <row r="13" spans="1:9" x14ac:dyDescent="0.35">
      <c r="A13">
        <v>12</v>
      </c>
      <c r="B13" s="1">
        <v>86400.874973535494</v>
      </c>
      <c r="C13" s="1">
        <v>70.089067459106403</v>
      </c>
      <c r="D13" s="1">
        <v>230.956568717956</v>
      </c>
      <c r="E13" s="1">
        <v>86400.140295505495</v>
      </c>
      <c r="F13" s="1">
        <v>5.2533149719238203E-3</v>
      </c>
      <c r="G13" s="1">
        <v>1.02013908899994</v>
      </c>
      <c r="H13" s="1">
        <v>4.0276134400000903</v>
      </c>
      <c r="I13" s="1">
        <v>7.4973292999966299</v>
      </c>
    </row>
    <row r="14" spans="1:9" x14ac:dyDescent="0.35">
      <c r="A14">
        <v>13</v>
      </c>
      <c r="B14" s="1">
        <v>58.451675891876199</v>
      </c>
      <c r="C14" s="1">
        <v>22.211640119552602</v>
      </c>
      <c r="D14" s="1">
        <v>173.92218637466399</v>
      </c>
      <c r="E14" s="1">
        <v>86400.126599073395</v>
      </c>
      <c r="F14" s="1">
        <v>4.5175552368164002E-3</v>
      </c>
      <c r="G14" s="1">
        <v>0.51476440700002901</v>
      </c>
      <c r="H14" s="1">
        <v>2.3248380449995198</v>
      </c>
      <c r="I14" s="1">
        <v>3.1050497120013398</v>
      </c>
    </row>
    <row r="15" spans="1:9" x14ac:dyDescent="0.35">
      <c r="A15">
        <v>14</v>
      </c>
      <c r="B15" s="1">
        <v>850.74028325080803</v>
      </c>
      <c r="C15" s="1">
        <v>88.225219011306706</v>
      </c>
      <c r="D15" s="1">
        <v>341.805687904357</v>
      </c>
      <c r="E15" s="1">
        <v>86400.125456094698</v>
      </c>
      <c r="F15" s="1">
        <v>5.1207542419433498E-3</v>
      </c>
      <c r="G15" s="1">
        <v>0.40604395299988</v>
      </c>
      <c r="H15" s="1">
        <v>3.6978838609993501</v>
      </c>
      <c r="I15" s="1">
        <v>14.4546965439985</v>
      </c>
    </row>
    <row r="16" spans="1:9" x14ac:dyDescent="0.35">
      <c r="A16">
        <v>15</v>
      </c>
      <c r="B16" s="1">
        <v>847.00700283050503</v>
      </c>
      <c r="C16" s="1">
        <v>58.091557264328003</v>
      </c>
      <c r="D16" s="1">
        <v>197.25004124641401</v>
      </c>
      <c r="E16" s="1">
        <v>86400.126175403595</v>
      </c>
      <c r="F16" s="1">
        <v>5.2807331085205E-3</v>
      </c>
      <c r="G16" s="1">
        <v>0.55543062200013005</v>
      </c>
      <c r="H16" s="1">
        <v>4.3720036019994897</v>
      </c>
      <c r="I16" s="1">
        <v>7.4649007279986099</v>
      </c>
    </row>
    <row r="17" spans="1:9" x14ac:dyDescent="0.35">
      <c r="A17">
        <v>16</v>
      </c>
      <c r="B17" s="1">
        <v>1160.6931722164099</v>
      </c>
      <c r="C17" s="1">
        <v>60.158497571945098</v>
      </c>
      <c r="D17" s="1">
        <v>220.47335624694799</v>
      </c>
      <c r="E17" s="1">
        <v>86400.164609908999</v>
      </c>
      <c r="F17" s="1">
        <v>5.1751136779785104E-3</v>
      </c>
      <c r="G17" s="1">
        <v>0.30605519800019398</v>
      </c>
      <c r="H17" s="1">
        <v>1.6701909319999599</v>
      </c>
      <c r="I17" s="1">
        <v>1.8437965720004199</v>
      </c>
    </row>
    <row r="18" spans="1:9" x14ac:dyDescent="0.35">
      <c r="A18">
        <v>17</v>
      </c>
      <c r="B18" s="1">
        <v>86400.324173450397</v>
      </c>
      <c r="C18" s="1">
        <v>76.000017881393404</v>
      </c>
      <c r="D18" s="1">
        <v>132.477592945098</v>
      </c>
      <c r="E18" s="1">
        <v>47.098084926605203</v>
      </c>
      <c r="F18" s="1">
        <v>6.5302848815917899E-3</v>
      </c>
      <c r="G18" s="1">
        <v>0.49575486699995902</v>
      </c>
      <c r="H18" s="1">
        <v>2.9234940050000602</v>
      </c>
      <c r="I18" s="1">
        <v>9.9828756200004101</v>
      </c>
    </row>
    <row r="19" spans="1:9" x14ac:dyDescent="0.35">
      <c r="A19">
        <v>18</v>
      </c>
      <c r="B19" s="1">
        <v>78285.793434858293</v>
      </c>
      <c r="C19" s="1">
        <v>77.328538656234699</v>
      </c>
      <c r="D19" s="1">
        <v>224.450894832611</v>
      </c>
      <c r="E19" s="1">
        <v>86400.140725135803</v>
      </c>
      <c r="F19" s="1">
        <v>5.2385330200195304E-3</v>
      </c>
      <c r="G19" s="1">
        <v>0.69679235900002801</v>
      </c>
      <c r="H19" s="1">
        <v>4.3831602350001004</v>
      </c>
      <c r="I19" s="1">
        <v>8.7464961510013293</v>
      </c>
    </row>
    <row r="20" spans="1:9" x14ac:dyDescent="0.35">
      <c r="A20">
        <v>19</v>
      </c>
      <c r="B20" s="1">
        <v>6526.2341415882102</v>
      </c>
      <c r="C20" s="1">
        <v>64.794146537780705</v>
      </c>
      <c r="D20" s="1">
        <v>234.16041851043701</v>
      </c>
      <c r="E20" s="1">
        <v>86400.141325473698</v>
      </c>
      <c r="F20" s="1">
        <v>4.3635368347167899E-3</v>
      </c>
      <c r="G20" s="1">
        <v>0.92259901499983199</v>
      </c>
      <c r="H20" s="1">
        <v>5.2234213649999202</v>
      </c>
      <c r="I20" s="1">
        <v>9.2410724220026097</v>
      </c>
    </row>
    <row r="21" spans="1:9" x14ac:dyDescent="0.35">
      <c r="A21">
        <v>20</v>
      </c>
      <c r="B21" s="1">
        <v>759.06535601615894</v>
      </c>
      <c r="C21" s="1">
        <v>912.31764340400696</v>
      </c>
      <c r="D21" s="1">
        <v>540.48723745346001</v>
      </c>
      <c r="E21" s="1">
        <v>86400.132619380907</v>
      </c>
      <c r="F21" s="1">
        <v>4.8832893371581997E-3</v>
      </c>
      <c r="G21" s="1">
        <v>0.26128399100002703</v>
      </c>
      <c r="H21" s="1">
        <v>1.42399396600012</v>
      </c>
      <c r="I21" s="1">
        <v>1.6976262800017099</v>
      </c>
    </row>
    <row r="22" spans="1:9" x14ac:dyDescent="0.35">
      <c r="A22">
        <v>21</v>
      </c>
      <c r="B22" s="1">
        <v>210.87740945816</v>
      </c>
      <c r="C22" s="1">
        <v>162.65208864211999</v>
      </c>
      <c r="D22" s="1">
        <v>318.648909568786</v>
      </c>
      <c r="E22" s="1">
        <v>86400.133867740602</v>
      </c>
      <c r="F22" s="1">
        <v>4.4388771057128898E-3</v>
      </c>
      <c r="G22" s="1">
        <v>0.26452542099991599</v>
      </c>
      <c r="H22" s="1">
        <v>1.0734945450003499</v>
      </c>
      <c r="I22" s="1">
        <v>1.3942296439999999</v>
      </c>
    </row>
    <row r="23" spans="1:9" x14ac:dyDescent="0.35">
      <c r="A23">
        <v>22</v>
      </c>
      <c r="B23" s="1">
        <v>7105.1666977405503</v>
      </c>
      <c r="C23" s="1">
        <v>57.698698759078901</v>
      </c>
      <c r="D23" s="1">
        <v>251.577482938766</v>
      </c>
      <c r="E23" s="1">
        <v>86400.135037422093</v>
      </c>
      <c r="F23" s="1">
        <v>5.1634311676025304E-3</v>
      </c>
      <c r="G23" s="1">
        <v>0.53209869900001605</v>
      </c>
      <c r="H23" s="1">
        <v>5.4311040780003097</v>
      </c>
      <c r="I23" s="1">
        <v>21.947997172999699</v>
      </c>
    </row>
    <row r="24" spans="1:9" x14ac:dyDescent="0.35">
      <c r="A24">
        <v>23</v>
      </c>
      <c r="B24" s="1">
        <v>729.35242557525601</v>
      </c>
      <c r="C24" s="1">
        <v>58.242346525192197</v>
      </c>
      <c r="D24" s="1">
        <v>291.66989302635102</v>
      </c>
      <c r="E24" s="1">
        <v>86400.160304784702</v>
      </c>
      <c r="F24" s="1">
        <v>5.1820278167724601E-3</v>
      </c>
      <c r="G24" s="1">
        <v>0.66322177799997895</v>
      </c>
      <c r="H24" s="1">
        <v>6.8767605580005604</v>
      </c>
      <c r="I24" s="1">
        <v>22.323707160001501</v>
      </c>
    </row>
    <row r="25" spans="1:9" x14ac:dyDescent="0.35">
      <c r="A25">
        <v>24</v>
      </c>
      <c r="B25" s="1">
        <v>158.90096259117101</v>
      </c>
      <c r="C25" s="1">
        <v>91.672548770904498</v>
      </c>
      <c r="D25" s="1">
        <v>319.44056868553099</v>
      </c>
      <c r="E25" s="1">
        <v>86400.131307125004</v>
      </c>
      <c r="F25" s="1">
        <v>5.7320594787597604E-3</v>
      </c>
      <c r="G25" s="1">
        <v>0.33728040300002199</v>
      </c>
      <c r="H25" s="1">
        <v>3.40073298700008</v>
      </c>
      <c r="I25" s="1">
        <v>4.4836588859980102</v>
      </c>
    </row>
    <row r="26" spans="1:9" x14ac:dyDescent="0.35">
      <c r="A26">
        <v>25</v>
      </c>
      <c r="B26" s="1">
        <v>2010.4343097209901</v>
      </c>
      <c r="C26" s="1">
        <v>65.932975530624304</v>
      </c>
      <c r="D26" s="1">
        <v>297.85724782943697</v>
      </c>
      <c r="E26" s="1">
        <v>34203.160275936098</v>
      </c>
      <c r="F26" s="1">
        <v>4.5621395111083898E-3</v>
      </c>
      <c r="G26" s="1">
        <v>0.24927780999996599</v>
      </c>
      <c r="H26" s="1">
        <v>2.27347767099945</v>
      </c>
      <c r="I26" s="1">
        <v>2.548224811002</v>
      </c>
    </row>
    <row r="27" spans="1:9" x14ac:dyDescent="0.35">
      <c r="A27">
        <v>26</v>
      </c>
      <c r="B27" s="1">
        <v>2330.9193391799899</v>
      </c>
      <c r="C27" s="1">
        <v>58.3836863040924</v>
      </c>
      <c r="D27" s="1">
        <v>181.586270332336</v>
      </c>
      <c r="E27" s="1">
        <v>86400.129125595093</v>
      </c>
      <c r="F27" s="1">
        <v>6.0391426086425703E-3</v>
      </c>
      <c r="G27" s="1">
        <v>0.58409128599987503</v>
      </c>
      <c r="H27" s="1">
        <v>3.71118901799945</v>
      </c>
      <c r="I27" s="1">
        <v>10.283400188</v>
      </c>
    </row>
    <row r="28" spans="1:9" x14ac:dyDescent="0.35">
      <c r="A28">
        <v>27</v>
      </c>
      <c r="B28" s="1">
        <v>1175.05269384384</v>
      </c>
      <c r="C28" s="1">
        <v>141.49965786933899</v>
      </c>
      <c r="D28" s="1">
        <v>477.19279837608298</v>
      </c>
      <c r="E28" s="1">
        <v>86400.130617856907</v>
      </c>
      <c r="F28" s="1">
        <v>5.4810047149658203E-3</v>
      </c>
      <c r="G28" s="1">
        <v>0.35413694700014198</v>
      </c>
      <c r="H28" s="1">
        <v>3.4202232380002799</v>
      </c>
      <c r="I28" s="1">
        <v>9.12444181300088</v>
      </c>
    </row>
    <row r="29" spans="1:9" x14ac:dyDescent="0.35">
      <c r="A29">
        <v>28</v>
      </c>
      <c r="B29" s="1">
        <v>147.89943647384601</v>
      </c>
      <c r="C29" s="1">
        <v>59.577576637268002</v>
      </c>
      <c r="D29" s="1">
        <v>278.319145917892</v>
      </c>
      <c r="E29" s="1">
        <v>86400.134596109303</v>
      </c>
      <c r="F29" s="1">
        <v>4.8899650573730399E-3</v>
      </c>
      <c r="G29" s="1">
        <v>0.35580247699999701</v>
      </c>
      <c r="H29" s="1">
        <v>1.3709802590001301</v>
      </c>
      <c r="I29" s="1">
        <v>1.47012566800185</v>
      </c>
    </row>
    <row r="30" spans="1:9" x14ac:dyDescent="0.35">
      <c r="A30">
        <v>29</v>
      </c>
      <c r="B30" s="1">
        <v>5.8123471736907897</v>
      </c>
      <c r="C30" s="1">
        <v>87.840272665023804</v>
      </c>
      <c r="D30" s="1">
        <v>317.97413492202702</v>
      </c>
      <c r="E30" s="1">
        <v>86400.127450704502</v>
      </c>
      <c r="F30" s="1">
        <v>5.0079822540283203E-3</v>
      </c>
      <c r="G30" s="1">
        <v>0.21797263500002301</v>
      </c>
      <c r="H30" s="1">
        <v>0.76583844600008799</v>
      </c>
      <c r="I30" s="1">
        <v>0.76324663400009696</v>
      </c>
    </row>
    <row r="31" spans="1:9" x14ac:dyDescent="0.35">
      <c r="A31">
        <v>30</v>
      </c>
      <c r="B31" s="1">
        <v>805.73928236961297</v>
      </c>
      <c r="C31" s="1">
        <v>58.891531467437702</v>
      </c>
      <c r="D31" s="1">
        <v>259.028136491775</v>
      </c>
      <c r="E31" s="1">
        <v>86400.1880934238</v>
      </c>
      <c r="F31" s="1">
        <v>4.7945976257324201E-3</v>
      </c>
      <c r="G31" s="1">
        <v>0.33322170599990297</v>
      </c>
      <c r="H31" s="1">
        <v>3.0836209959998002</v>
      </c>
      <c r="I31" s="1">
        <v>5.09110279099695</v>
      </c>
    </row>
    <row r="32" spans="1:9" x14ac:dyDescent="0.35">
      <c r="A32">
        <v>31</v>
      </c>
      <c r="B32" s="1">
        <v>1909.8805825710201</v>
      </c>
      <c r="C32" s="1">
        <v>52.664197683334301</v>
      </c>
      <c r="D32" s="1">
        <v>176.476865291595</v>
      </c>
      <c r="E32" s="1">
        <v>86400.145117759705</v>
      </c>
      <c r="F32" s="1">
        <v>6.1647891998290998E-3</v>
      </c>
      <c r="G32" s="1">
        <v>0.64120495799988897</v>
      </c>
      <c r="H32" s="1">
        <v>6.6015620719999699</v>
      </c>
      <c r="I32" s="1">
        <v>33.661860989999603</v>
      </c>
    </row>
    <row r="33" spans="1:9" x14ac:dyDescent="0.35">
      <c r="A33">
        <v>32</v>
      </c>
      <c r="B33" s="1">
        <v>907.86760544776905</v>
      </c>
      <c r="C33" s="1">
        <v>79.067918539047199</v>
      </c>
      <c r="D33" s="1">
        <v>293.41959142684902</v>
      </c>
      <c r="E33" s="1">
        <v>86400.082375526399</v>
      </c>
      <c r="F33" s="1">
        <v>6.0026645660400304E-3</v>
      </c>
      <c r="G33" s="1">
        <v>0.50681856599999198</v>
      </c>
      <c r="H33" s="1">
        <v>2.4093096120004698</v>
      </c>
      <c r="I33" s="1">
        <v>2.7303854409983601</v>
      </c>
    </row>
    <row r="34" spans="1:9" x14ac:dyDescent="0.35">
      <c r="A34">
        <v>33</v>
      </c>
      <c r="B34" s="1">
        <v>3774.74291229248</v>
      </c>
      <c r="C34" s="1">
        <v>100.92551684379499</v>
      </c>
      <c r="D34" s="1">
        <v>302.64456987380902</v>
      </c>
      <c r="E34" s="1">
        <v>86400.140103101701</v>
      </c>
      <c r="F34" s="1">
        <v>5.6214332580566398E-3</v>
      </c>
      <c r="G34" s="1">
        <v>0.21668813099995499</v>
      </c>
      <c r="H34" s="1">
        <v>2.0034395640004701</v>
      </c>
      <c r="I34" s="1">
        <v>2.3845861139998301</v>
      </c>
    </row>
    <row r="35" spans="1:9" x14ac:dyDescent="0.35">
      <c r="A35">
        <v>34</v>
      </c>
      <c r="B35" s="1">
        <v>1964.59009075164</v>
      </c>
      <c r="C35" s="1">
        <v>136.314377784729</v>
      </c>
      <c r="D35" s="1">
        <v>394.49784350395203</v>
      </c>
      <c r="E35" s="1">
        <v>86400.115904331207</v>
      </c>
      <c r="F35" s="1">
        <v>5.6524276733398403E-3</v>
      </c>
      <c r="G35" s="1">
        <v>0.24679671700005201</v>
      </c>
      <c r="H35" s="1">
        <v>3.77508114100055</v>
      </c>
      <c r="I35" s="1">
        <v>6.1460980370029503</v>
      </c>
    </row>
    <row r="36" spans="1:9" x14ac:dyDescent="0.35">
      <c r="A36">
        <v>35</v>
      </c>
      <c r="B36" s="1">
        <v>98.0358052253723</v>
      </c>
      <c r="C36" s="1">
        <v>1499.5055146217301</v>
      </c>
      <c r="D36" s="1">
        <v>453.13620591163601</v>
      </c>
      <c r="E36" s="1">
        <v>86400.137974739002</v>
      </c>
      <c r="F36" s="1">
        <v>5.1372051239013602E-3</v>
      </c>
      <c r="G36" s="1">
        <v>0.27837685899998998</v>
      </c>
      <c r="H36" s="1">
        <v>1.17122840199954</v>
      </c>
      <c r="I36" s="1">
        <v>1.5252734030000199</v>
      </c>
    </row>
    <row r="37" spans="1:9" x14ac:dyDescent="0.35">
      <c r="A37">
        <v>36</v>
      </c>
      <c r="B37" s="1">
        <v>340.20367479324301</v>
      </c>
      <c r="C37" s="1">
        <v>59.518777132034302</v>
      </c>
      <c r="D37" s="1">
        <v>248.66281890869101</v>
      </c>
      <c r="E37" s="1">
        <v>86400.133429527195</v>
      </c>
      <c r="F37" s="1">
        <v>4.7066211700439401E-3</v>
      </c>
      <c r="G37" s="1">
        <v>0.21965419499997499</v>
      </c>
      <c r="H37" s="1">
        <v>0.29924160400059902</v>
      </c>
      <c r="I37" s="1">
        <v>0.344867935000365</v>
      </c>
    </row>
    <row r="38" spans="1:9" x14ac:dyDescent="0.35">
      <c r="A38">
        <v>37</v>
      </c>
      <c r="B38" s="1">
        <v>31.145901679992601</v>
      </c>
      <c r="C38" s="1">
        <v>320.65396547317499</v>
      </c>
      <c r="D38" s="1">
        <v>293.428564310073</v>
      </c>
      <c r="E38" s="1">
        <v>86400.134007453904</v>
      </c>
      <c r="F38" s="1">
        <v>6.2503814697265599E-3</v>
      </c>
      <c r="G38" s="1">
        <v>0.43915323800001699</v>
      </c>
      <c r="H38" s="1">
        <v>2.6677951359997598</v>
      </c>
      <c r="I38" s="1">
        <v>3.22594257299715</v>
      </c>
    </row>
    <row r="39" spans="1:9" x14ac:dyDescent="0.35">
      <c r="A39">
        <v>38</v>
      </c>
      <c r="B39" s="1">
        <v>4.9631543159484801</v>
      </c>
      <c r="C39" s="1">
        <v>6913.6652741432099</v>
      </c>
      <c r="D39" s="1">
        <v>546.080072641372</v>
      </c>
      <c r="E39" s="1">
        <v>86400.127148866595</v>
      </c>
      <c r="F39" s="1">
        <v>5.1782131195068299E-3</v>
      </c>
      <c r="G39" s="1">
        <v>0.26292130699994198</v>
      </c>
      <c r="H39" s="1">
        <v>1.5493834219996601</v>
      </c>
      <c r="I39" s="1">
        <v>2.2965890949999399</v>
      </c>
    </row>
    <row r="40" spans="1:9" x14ac:dyDescent="0.35">
      <c r="A40">
        <v>39</v>
      </c>
      <c r="B40" s="1">
        <v>79.188139438629094</v>
      </c>
      <c r="C40" s="1">
        <v>610.82811737060501</v>
      </c>
      <c r="D40" s="1">
        <v>276.89593887329102</v>
      </c>
      <c r="E40" s="1">
        <v>86400.126035213398</v>
      </c>
      <c r="F40" s="1">
        <v>6.1039924621581997E-3</v>
      </c>
      <c r="G40" s="1">
        <v>0.257221596999897</v>
      </c>
      <c r="H40" s="1">
        <v>1.7992942900000299</v>
      </c>
      <c r="I40" s="1">
        <v>2.2100352369998202</v>
      </c>
    </row>
    <row r="41" spans="1:9" x14ac:dyDescent="0.35">
      <c r="A41">
        <v>40</v>
      </c>
      <c r="B41" s="1">
        <v>922.62835550308205</v>
      </c>
      <c r="C41" s="1">
        <v>280.592938423156</v>
      </c>
      <c r="D41" s="1">
        <v>412.89148020744301</v>
      </c>
      <c r="E41" s="1">
        <v>86400.128802537904</v>
      </c>
      <c r="F41" s="1">
        <v>5.1181316375732396E-3</v>
      </c>
      <c r="G41" s="1">
        <v>0.23861552500011299</v>
      </c>
      <c r="H41" s="1">
        <v>3.0757520170000099</v>
      </c>
      <c r="I41" s="1">
        <v>11.4139641930014</v>
      </c>
    </row>
    <row r="42" spans="1:9" x14ac:dyDescent="0.35">
      <c r="A42">
        <v>41</v>
      </c>
      <c r="B42" s="1">
        <v>712.73984003067005</v>
      </c>
      <c r="C42" s="1">
        <v>1518.63394331932</v>
      </c>
      <c r="D42" s="1">
        <v>707.79996132850601</v>
      </c>
      <c r="E42" s="1">
        <v>86400.211915969805</v>
      </c>
      <c r="F42" s="1">
        <v>5.31005859375E-3</v>
      </c>
      <c r="G42" s="1">
        <v>0.35698768399993203</v>
      </c>
      <c r="H42" s="1">
        <v>2.90378133400008</v>
      </c>
      <c r="I42" s="1">
        <v>5.6154071470009503</v>
      </c>
    </row>
    <row r="43" spans="1:9" x14ac:dyDescent="0.35">
      <c r="A43">
        <v>42</v>
      </c>
      <c r="B43" s="1">
        <v>5505.72230434417</v>
      </c>
      <c r="C43" s="1">
        <v>580.17795109748795</v>
      </c>
      <c r="D43" s="1">
        <v>479.90765690803499</v>
      </c>
      <c r="E43" s="1">
        <v>86400.134572505907</v>
      </c>
      <c r="F43" s="1">
        <v>5.4419040679931597E-3</v>
      </c>
      <c r="G43" s="1">
        <v>0.33055286099988701</v>
      </c>
      <c r="H43" s="1">
        <v>2.1577737999996298</v>
      </c>
      <c r="I43" s="1">
        <v>11.4665534910018</v>
      </c>
    </row>
    <row r="44" spans="1:9" x14ac:dyDescent="0.35">
      <c r="A44">
        <v>43</v>
      </c>
      <c r="B44" s="1">
        <v>640.21524930000305</v>
      </c>
      <c r="C44" s="1">
        <v>320.01122188568098</v>
      </c>
      <c r="D44" s="1">
        <v>466.90860319137499</v>
      </c>
      <c r="E44" s="1">
        <v>86400.131663084001</v>
      </c>
      <c r="F44" s="1">
        <v>5.6045055389404297E-3</v>
      </c>
      <c r="G44" s="1">
        <v>0.46214166499998999</v>
      </c>
      <c r="H44" s="1">
        <v>2.6963133250001099</v>
      </c>
      <c r="I44" s="1">
        <v>4.5286956169984398</v>
      </c>
    </row>
    <row r="45" spans="1:9" x14ac:dyDescent="0.35">
      <c r="A45">
        <v>44</v>
      </c>
      <c r="B45" s="1">
        <v>271.16198706626801</v>
      </c>
      <c r="C45" s="1">
        <v>94.3208456039428</v>
      </c>
      <c r="D45" s="1">
        <v>332.61604619026099</v>
      </c>
      <c r="E45" s="1">
        <v>86400.134548902497</v>
      </c>
      <c r="F45" s="1">
        <v>4.8720836639404297E-3</v>
      </c>
      <c r="G45" s="1">
        <v>0.289557128000069</v>
      </c>
      <c r="H45" s="1">
        <v>2.0520706749994102</v>
      </c>
      <c r="I45" s="1">
        <v>5.5421878640008799</v>
      </c>
    </row>
    <row r="46" spans="1:9" x14ac:dyDescent="0.35">
      <c r="A46">
        <v>45</v>
      </c>
      <c r="B46" s="1">
        <v>291.48174500465302</v>
      </c>
      <c r="C46" s="1">
        <v>213.53333497047399</v>
      </c>
      <c r="D46" s="1">
        <v>478.408534049987</v>
      </c>
      <c r="E46" s="1">
        <v>86400.129339218096</v>
      </c>
      <c r="F46" s="1">
        <v>5.0356388092040998E-3</v>
      </c>
      <c r="G46" s="1">
        <v>0.35976657499986597</v>
      </c>
      <c r="H46" s="1">
        <v>1.54041738000069</v>
      </c>
      <c r="I46" s="1">
        <v>2.0986153119993101</v>
      </c>
    </row>
    <row r="47" spans="1:9" x14ac:dyDescent="0.35">
      <c r="A47">
        <v>46</v>
      </c>
      <c r="B47" s="1">
        <v>50.2884037494659</v>
      </c>
      <c r="C47" s="1">
        <v>89.7342205047607</v>
      </c>
      <c r="D47" s="1">
        <v>544.07556653022698</v>
      </c>
      <c r="E47" s="1">
        <v>86400.1261193752</v>
      </c>
      <c r="F47" s="1">
        <v>5.8310031890869097E-3</v>
      </c>
      <c r="G47" s="1">
        <v>0.377706815999999</v>
      </c>
      <c r="H47" s="1">
        <v>4.7512340269995503</v>
      </c>
      <c r="I47" s="1">
        <v>14.7158929110009</v>
      </c>
    </row>
    <row r="48" spans="1:9" x14ac:dyDescent="0.35">
      <c r="A48">
        <v>47</v>
      </c>
      <c r="B48" s="1">
        <v>28681.8346641063</v>
      </c>
      <c r="C48" s="1">
        <v>638.05624175071705</v>
      </c>
      <c r="D48" s="1">
        <v>463.24853658676102</v>
      </c>
      <c r="E48" s="1">
        <v>86400.312841892199</v>
      </c>
      <c r="F48" s="1">
        <v>5.4316520690917899E-3</v>
      </c>
      <c r="G48" s="1">
        <v>0.35608616999979797</v>
      </c>
      <c r="H48" s="1">
        <v>1.55985509200036</v>
      </c>
      <c r="I48" s="1">
        <v>4.1092324909986901</v>
      </c>
    </row>
    <row r="49" spans="1:9" x14ac:dyDescent="0.35">
      <c r="A49">
        <v>48</v>
      </c>
      <c r="B49" s="1">
        <v>24.768089056015</v>
      </c>
      <c r="C49" s="1">
        <v>17601.845165967901</v>
      </c>
      <c r="D49" s="1">
        <v>1496.15870833396</v>
      </c>
      <c r="E49" s="1">
        <v>86400.219609498905</v>
      </c>
      <c r="F49" s="1">
        <v>4.7314167022705E-3</v>
      </c>
      <c r="G49" s="1">
        <v>0.34803474099999199</v>
      </c>
      <c r="H49" s="1">
        <v>1.4282287449996101</v>
      </c>
      <c r="I49" s="1">
        <v>2.3426600800012198</v>
      </c>
    </row>
    <row r="50" spans="1:9" x14ac:dyDescent="0.35">
      <c r="A50">
        <v>49</v>
      </c>
      <c r="B50" s="1">
        <v>20.868867158889699</v>
      </c>
      <c r="C50" s="1">
        <v>5634.1728641986801</v>
      </c>
      <c r="D50" s="1">
        <v>1068.1284990310601</v>
      </c>
      <c r="E50" s="1">
        <v>86400.086030006394</v>
      </c>
      <c r="F50" s="1">
        <v>4.53543663024902E-3</v>
      </c>
      <c r="G50" s="1">
        <v>0.26112656500004</v>
      </c>
      <c r="H50" s="1">
        <v>1.2114305909999501</v>
      </c>
      <c r="I50" s="1">
        <v>3.0090908170022801</v>
      </c>
    </row>
    <row r="51" spans="1:9" x14ac:dyDescent="0.35">
      <c r="A51">
        <v>50</v>
      </c>
      <c r="B51" s="1">
        <v>18.745156764984099</v>
      </c>
      <c r="C51" s="1">
        <v>163.14162302017201</v>
      </c>
      <c r="D51" s="1">
        <v>452.50598287582397</v>
      </c>
      <c r="E51" s="1">
        <v>86400.124464988694</v>
      </c>
      <c r="F51" s="1">
        <v>4.9333572387695304E-3</v>
      </c>
      <c r="G51" s="1">
        <v>0.19198067499996699</v>
      </c>
      <c r="H51" s="1">
        <v>1.0493775380000401</v>
      </c>
      <c r="I51" s="1">
        <v>1.27878317900103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4A3F-A3D6-4A8F-B8AA-AE5F88FF5378}">
  <dimension ref="A1:I14"/>
  <sheetViews>
    <sheetView topLeftCell="C1" workbookViewId="0">
      <selection activeCell="A10" sqref="A10:H14"/>
    </sheetView>
  </sheetViews>
  <sheetFormatPr defaultRowHeight="14.5" x14ac:dyDescent="0.35"/>
  <cols>
    <col min="1" max="1" width="11.1796875" customWidth="1"/>
    <col min="2" max="2" width="19.26953125" customWidth="1"/>
    <col min="3" max="3" width="17.81640625" customWidth="1"/>
    <col min="4" max="6" width="30.81640625" customWidth="1"/>
    <col min="7" max="7" width="23" customWidth="1"/>
    <col min="8" max="8" width="23.54296875" bestFit="1" customWidth="1"/>
    <col min="9" max="9" width="16" customWidth="1"/>
  </cols>
  <sheetData>
    <row r="1" spans="1:9" x14ac:dyDescent="0.35">
      <c r="A1" t="s">
        <v>242</v>
      </c>
      <c r="B1" t="s">
        <v>243</v>
      </c>
      <c r="C1" t="s">
        <v>250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</row>
    <row r="2" spans="1:9" x14ac:dyDescent="0.35">
      <c r="A2">
        <v>3</v>
      </c>
      <c r="B2">
        <v>34.700000000000003</v>
      </c>
      <c r="C2">
        <v>33</v>
      </c>
      <c r="D2">
        <v>34.6</v>
      </c>
      <c r="E2">
        <v>34.6</v>
      </c>
      <c r="F2">
        <v>34.6</v>
      </c>
      <c r="G2" s="7">
        <v>2.8818443804034988E-3</v>
      </c>
      <c r="H2" s="7">
        <v>2.8818443804034988E-3</v>
      </c>
      <c r="I2" s="7">
        <v>2.8818443804034988E-3</v>
      </c>
    </row>
    <row r="3" spans="1:9" x14ac:dyDescent="0.35">
      <c r="A3">
        <v>4</v>
      </c>
      <c r="B3">
        <v>35.199999999999989</v>
      </c>
      <c r="C3">
        <v>34.4</v>
      </c>
      <c r="D3">
        <v>34.9</v>
      </c>
      <c r="E3">
        <v>35</v>
      </c>
      <c r="F3">
        <v>35.1</v>
      </c>
      <c r="G3" s="7">
        <v>8.5227272727269928E-3</v>
      </c>
      <c r="H3" s="7">
        <v>5.6818181818178611E-3</v>
      </c>
      <c r="I3" s="7">
        <v>2.8409090909087284E-3</v>
      </c>
    </row>
    <row r="4" spans="1:9" x14ac:dyDescent="0.35">
      <c r="A4">
        <v>5</v>
      </c>
      <c r="B4">
        <v>34.700000000000003</v>
      </c>
      <c r="C4">
        <v>32.700000000000003</v>
      </c>
      <c r="D4">
        <v>34.1</v>
      </c>
      <c r="E4">
        <v>34.1</v>
      </c>
      <c r="F4">
        <v>34.5</v>
      </c>
      <c r="G4" s="7">
        <v>1.7291066282420789E-2</v>
      </c>
      <c r="H4" s="7">
        <v>1.7291066282420789E-2</v>
      </c>
      <c r="I4" s="7">
        <v>5.7636887608069976E-3</v>
      </c>
    </row>
    <row r="5" spans="1:9" x14ac:dyDescent="0.35">
      <c r="A5">
        <v>6</v>
      </c>
      <c r="B5">
        <v>31.4</v>
      </c>
      <c r="C5">
        <v>28.7</v>
      </c>
      <c r="D5">
        <v>31.1</v>
      </c>
      <c r="E5">
        <v>31.1</v>
      </c>
      <c r="F5">
        <v>31.1</v>
      </c>
      <c r="G5" s="7">
        <v>9.5541401273884444E-3</v>
      </c>
      <c r="H5" s="7">
        <v>9.5541401273884444E-3</v>
      </c>
      <c r="I5" s="7">
        <v>9.5541401273884444E-3</v>
      </c>
    </row>
    <row r="6" spans="1:9" x14ac:dyDescent="0.35">
      <c r="A6">
        <v>7</v>
      </c>
      <c r="B6">
        <v>30.3</v>
      </c>
      <c r="C6">
        <v>27.5</v>
      </c>
      <c r="D6">
        <v>29.7</v>
      </c>
      <c r="E6">
        <v>30</v>
      </c>
      <c r="F6">
        <v>30.1</v>
      </c>
      <c r="G6" s="7">
        <v>1.9801980198019847E-2</v>
      </c>
      <c r="H6" s="7">
        <v>9.9009900990099237E-3</v>
      </c>
      <c r="I6" s="7">
        <v>6.6006600660065773E-3</v>
      </c>
    </row>
    <row r="9" spans="1:9" x14ac:dyDescent="0.35">
      <c r="A9" t="s">
        <v>242</v>
      </c>
      <c r="B9" t="s">
        <v>251</v>
      </c>
      <c r="C9" t="s">
        <v>252</v>
      </c>
      <c r="D9" t="s">
        <v>253</v>
      </c>
      <c r="E9" t="s">
        <v>250</v>
      </c>
      <c r="F9" t="s">
        <v>254</v>
      </c>
      <c r="G9" t="s">
        <v>255</v>
      </c>
      <c r="H9" t="s">
        <v>256</v>
      </c>
    </row>
    <row r="10" spans="1:9" x14ac:dyDescent="0.35">
      <c r="A10">
        <v>3</v>
      </c>
      <c r="B10" s="1">
        <v>86400.180150699598</v>
      </c>
      <c r="C10" s="1">
        <v>59.419794297218303</v>
      </c>
      <c r="D10" s="1">
        <v>223.74310989379828</v>
      </c>
      <c r="E10" s="1">
        <v>5.2127599716186492E-3</v>
      </c>
      <c r="F10" s="1">
        <v>0.51273597730003007</v>
      </c>
      <c r="G10" s="1">
        <v>3.254061016400005</v>
      </c>
      <c r="H10" s="1">
        <v>5.8776783757999365</v>
      </c>
    </row>
    <row r="11" spans="1:9" x14ac:dyDescent="0.35">
      <c r="A11">
        <v>4</v>
      </c>
      <c r="B11" s="1">
        <v>77764.879277253116</v>
      </c>
      <c r="C11" s="1">
        <v>148.05524251461026</v>
      </c>
      <c r="D11" s="1">
        <v>252.69481949806169</v>
      </c>
      <c r="E11" s="1">
        <v>5.0603389739990162E-3</v>
      </c>
      <c r="F11" s="1">
        <v>0.55071810019999201</v>
      </c>
      <c r="G11" s="1">
        <v>3.2022728755998235</v>
      </c>
      <c r="H11" s="1">
        <v>6.8587023958003446</v>
      </c>
    </row>
    <row r="12" spans="1:9" x14ac:dyDescent="0.35">
      <c r="A12">
        <v>5</v>
      </c>
      <c r="B12" s="1">
        <v>81180.44306766981</v>
      </c>
      <c r="C12" s="1">
        <v>84.239138317108072</v>
      </c>
      <c r="D12" s="1">
        <v>299.32945880889844</v>
      </c>
      <c r="E12" s="1">
        <v>5.1291227340698204E-3</v>
      </c>
      <c r="F12" s="1">
        <v>0.38916291619998389</v>
      </c>
      <c r="G12" s="1">
        <v>3.1407421796000499</v>
      </c>
      <c r="H12" s="1">
        <v>7.9430134768001013</v>
      </c>
    </row>
    <row r="13" spans="1:9" x14ac:dyDescent="0.35">
      <c r="A13">
        <v>6</v>
      </c>
      <c r="B13" s="1">
        <v>86400.127089905698</v>
      </c>
      <c r="C13" s="1">
        <v>1005.3736598014817</v>
      </c>
      <c r="D13" s="1">
        <v>339.81339509487117</v>
      </c>
      <c r="E13" s="1">
        <v>5.593585968017574E-3</v>
      </c>
      <c r="F13" s="1">
        <v>0.33074510929998219</v>
      </c>
      <c r="G13" s="1">
        <v>2.5352087260001062</v>
      </c>
      <c r="H13" s="1">
        <v>6.5939603017999442</v>
      </c>
    </row>
    <row r="14" spans="1:9" x14ac:dyDescent="0.35">
      <c r="A14">
        <v>7</v>
      </c>
      <c r="B14" s="1">
        <v>86400.16111054417</v>
      </c>
      <c r="C14" s="1">
        <v>2685.3627412319138</v>
      </c>
      <c r="D14" s="1">
        <v>648.97580950259965</v>
      </c>
      <c r="E14" s="1">
        <v>5.1727056503295867E-3</v>
      </c>
      <c r="F14" s="1">
        <v>0.33339408799995407</v>
      </c>
      <c r="G14" s="1">
        <v>2.1350482506999429</v>
      </c>
      <c r="H14" s="1">
        <v>5.4707118909005512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compare_results_1_roots</vt:lpstr>
      <vt:lpstr>comparaciones</vt:lpstr>
      <vt:lpstr>solutions</vt:lpstr>
      <vt:lpstr>optimos</vt:lpstr>
      <vt:lpstr>duracion</vt:lpstr>
      <vt:lpstr>promedios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</cp:lastModifiedBy>
  <dcterms:created xsi:type="dcterms:W3CDTF">2026-03-03T02:47:10Z</dcterms:created>
  <dcterms:modified xsi:type="dcterms:W3CDTF">2026-03-13T06:22:27Z</dcterms:modified>
</cp:coreProperties>
</file>