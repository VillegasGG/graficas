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graficas\"/>
    </mc:Choice>
  </mc:AlternateContent>
  <xr:revisionPtr revIDLastSave="0" documentId="13_ncr:1_{D9DFEBE5-F13E-441C-A7CF-AFBC98D6F7F5}" xr6:coauthVersionLast="47" xr6:coauthVersionMax="47" xr10:uidLastSave="{00000000-0000-0000-0000-000000000000}"/>
  <bookViews>
    <workbookView xWindow="-110" yWindow="-110" windowWidth="19420" windowHeight="10300" xr2:uid="{D000E91A-FD86-43AE-BED0-C7262648B88B}"/>
  </bookViews>
  <sheets>
    <sheet name="compare_results_1_roots" sheetId="1" r:id="rId1"/>
    <sheet name="comparacion" sheetId="2" r:id="rId2"/>
    <sheet name="compare_nodes" sheetId="4" r:id="rId3"/>
    <sheet name="compare_times" sheetId="5" r:id="rId4"/>
    <sheet name="compare_results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3" i="2"/>
  <c r="I15" i="2"/>
  <c r="I16" i="2"/>
  <c r="I17" i="2"/>
  <c r="J2" i="2"/>
  <c r="J3" i="2"/>
  <c r="J4" i="2"/>
  <c r="J5" i="2"/>
  <c r="J6" i="2"/>
  <c r="F2" i="2"/>
  <c r="F3" i="2"/>
  <c r="F4" i="2"/>
  <c r="F5" i="2"/>
  <c r="F6" i="2"/>
  <c r="E2" i="2"/>
  <c r="E3" i="2"/>
  <c r="E4" i="2"/>
  <c r="E5" i="2"/>
  <c r="E6" i="2"/>
  <c r="D2" i="2"/>
  <c r="D3" i="2"/>
  <c r="D4" i="2"/>
  <c r="D5" i="2"/>
  <c r="D6" i="2"/>
  <c r="H13" i="2"/>
  <c r="H14" i="2"/>
  <c r="H15" i="2"/>
  <c r="H16" i="2"/>
  <c r="H17" i="2"/>
  <c r="C2" i="2"/>
  <c r="C3" i="2"/>
  <c r="C4" i="2"/>
  <c r="C5" i="2"/>
  <c r="C6" i="2"/>
  <c r="G13" i="2"/>
  <c r="G14" i="2"/>
  <c r="G15" i="2"/>
  <c r="G16" i="2"/>
  <c r="G17" i="2"/>
  <c r="F13" i="2"/>
  <c r="F14" i="2"/>
  <c r="F15" i="2"/>
  <c r="F16" i="2"/>
  <c r="F17" i="2"/>
  <c r="C13" i="2"/>
  <c r="C14" i="2"/>
  <c r="C15" i="2"/>
  <c r="C16" i="2"/>
  <c r="C17" i="2"/>
  <c r="E14" i="2"/>
  <c r="E15" i="2"/>
  <c r="E16" i="2"/>
  <c r="E17" i="2"/>
  <c r="E13" i="2"/>
  <c r="D13" i="2"/>
  <c r="D14" i="2"/>
  <c r="D15" i="2"/>
  <c r="D16" i="2"/>
  <c r="D17" i="2"/>
  <c r="B13" i="2"/>
  <c r="B14" i="2"/>
  <c r="B15" i="2"/>
  <c r="B16" i="2"/>
  <c r="B17" i="2"/>
  <c r="B2" i="2"/>
  <c r="B3" i="2"/>
  <c r="B4" i="2"/>
  <c r="B5" i="2"/>
  <c r="B6" i="2"/>
  <c r="I6" i="2" l="1"/>
  <c r="G5" i="2"/>
  <c r="H5" i="2"/>
  <c r="H4" i="2"/>
  <c r="H6" i="2"/>
  <c r="I3" i="2"/>
  <c r="G2" i="2"/>
  <c r="H3" i="2"/>
  <c r="G6" i="2"/>
  <c r="H2" i="2"/>
  <c r="G4" i="2"/>
  <c r="I2" i="2"/>
  <c r="G3" i="2"/>
  <c r="I5" i="2"/>
  <c r="I4" i="2"/>
</calcChain>
</file>

<file path=xl/sharedStrings.xml><?xml version="1.0" encoding="utf-8"?>
<sst xmlns="http://schemas.openxmlformats.org/spreadsheetml/2006/main" count="697" uniqueCount="278">
  <si>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</si>
  <si>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</si>
  <si>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</si>
  <si>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</si>
  <si>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</si>
  <si>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</si>
  <si>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</si>
  <si>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</si>
  <si>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</si>
  <si>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</si>
  <si>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</si>
  <si>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</si>
  <si>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</si>
  <si>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</si>
  <si>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[-1, 20, 21]</t>
  </si>
  <si>
    <t>[20, 21]</t>
  </si>
  <si>
    <t>[-1, 24]</t>
  </si>
  <si>
    <t>[24]</t>
  </si>
  <si>
    <t>[-1, 4, 33, 36, 1, 14, 8, 31]</t>
  </si>
  <si>
    <t>[-1, 19, 9, 20, 21, 3]</t>
  </si>
  <si>
    <t>[-1, 9, 33, 36, 39]</t>
  </si>
  <si>
    <t>[-1, 9, 19, 20]</t>
  </si>
  <si>
    <t>[19, 9, 20, 21, 3]</t>
  </si>
  <si>
    <t>[-1, 10, 3, 16, 29, 1]</t>
  </si>
  <si>
    <t>[-1, 10, 34, 25, 4]</t>
  </si>
  <si>
    <t>[-1, 34, 2, 25, 18, 36]</t>
  </si>
  <si>
    <t>[10, 0, 4, 23, 17, 19, 22]</t>
  </si>
  <si>
    <t>[-1, 27, 22]</t>
  </si>
  <si>
    <t>[27, 22]</t>
  </si>
  <si>
    <t>[-1, 12, 37]</t>
  </si>
  <si>
    <t>[-1, 37, 12]</t>
  </si>
  <si>
    <t>[12, 37]</t>
  </si>
  <si>
    <t>[-1, 26, 3, 15, 31, 33, 0, 5, 20, 18]</t>
  </si>
  <si>
    <t>[-1, 26, 4, 10, 13, 14]</t>
  </si>
  <si>
    <t>[-1, 4, 10, 13, 14]</t>
  </si>
  <si>
    <t>[26, 4, 10, 13, 14]</t>
  </si>
  <si>
    <t>[-1, 10, 15, 29, 8]</t>
  </si>
  <si>
    <t>[-1, 33, 11, 31]</t>
  </si>
  <si>
    <t>[15, 10, 29, 8]</t>
  </si>
  <si>
    <t>[-1, 25, 14, 30, 39, 4, 1, 21, 3, 38]</t>
  </si>
  <si>
    <t>[-1, 25, 14, 30, 39, 21, 1, 4, 38, 3]</t>
  </si>
  <si>
    <t>[-1, 26, 20, 3, 38]</t>
  </si>
  <si>
    <t>[25, 14, 6, 4, 1, 21]</t>
  </si>
  <si>
    <t>[-1, 10, 16, 9, 35]</t>
  </si>
  <si>
    <t>[-1, 24, 12, 35]</t>
  </si>
  <si>
    <t>[-1, 10, 9, 35]</t>
  </si>
  <si>
    <t>[24, 12, 35]</t>
  </si>
  <si>
    <t>[-1, 3, 15, 25]</t>
  </si>
  <si>
    <t>[-1, 15, 3, 25]</t>
  </si>
  <si>
    <t>[3, 15, 25]</t>
  </si>
  <si>
    <t>[-1, 25, 3, 19, 39]</t>
  </si>
  <si>
    <t>[-1, 25, 19, 3, 39]</t>
  </si>
  <si>
    <t>[-1, 34, 31, 12]</t>
  </si>
  <si>
    <t>[25, 19, 3, 0, 22, 5, 38, 13]</t>
  </si>
  <si>
    <t>[-1, 11, 1, 4, 9, 21]</t>
  </si>
  <si>
    <t>[-1, 35, 26, 4, 20]</t>
  </si>
  <si>
    <t>[-1, 35, 4, 26, 38, 23]</t>
  </si>
  <si>
    <t>[-1, 35, 26, 38, 23]</t>
  </si>
  <si>
    <t>[1, 35, 21, 39]</t>
  </si>
  <si>
    <t>[-1, 17, 10, 21, 24, 19]</t>
  </si>
  <si>
    <t>[-1, 24, 17, 21, 10, 19]</t>
  </si>
  <si>
    <t>[-1, 17, 21, 10, 24, 19]</t>
  </si>
  <si>
    <t>[-1, 17, 24, 12, 22]</t>
  </si>
  <si>
    <t>[35, 37, 20, 30, 19]</t>
  </si>
  <si>
    <t>[-1, 6, 12, 21, 19, 2]</t>
  </si>
  <si>
    <t>[-1, 7, 6, 28]</t>
  </si>
  <si>
    <t>[6, 21, 0, 27, 9, 8, 33]</t>
  </si>
  <si>
    <t>[-1, 9, 7, 11, 18, 19, 28]</t>
  </si>
  <si>
    <t>[-1, 25, 11, 27]</t>
  </si>
  <si>
    <t>[25, 11, 27]</t>
  </si>
  <si>
    <t>[-1, 20, 29, 1, 35]</t>
  </si>
  <si>
    <t>[-1, 1, 35, 20, 29]</t>
  </si>
  <si>
    <t>[-1, 29, 1, 20, 35, 0]</t>
  </si>
  <si>
    <t>[-1, 1, 20, 29, 35]</t>
  </si>
  <si>
    <t>[1, 29, 20, 35]</t>
  </si>
  <si>
    <t>[-1, 25, 12, 24, 27]</t>
  </si>
  <si>
    <t>[-1, 25, 16, 24, 27]</t>
  </si>
  <si>
    <t>[-1, 4, 22, 15, 20]</t>
  </si>
  <si>
    <t>[25, 16, 0, 36, 35, 18, 6, 8]</t>
  </si>
  <si>
    <t>[-1, 36, 28]</t>
  </si>
  <si>
    <t>[-1, 36]</t>
  </si>
  <si>
    <t>[-1, 28]</t>
  </si>
  <si>
    <t>[36, 28]</t>
  </si>
  <si>
    <t>[-1, 3, 35, 6, 21, 23, 7, 18]</t>
  </si>
  <si>
    <t>[-1, 6, 21, 37, 7, 23]</t>
  </si>
  <si>
    <t>[-1, 6, 21, 1, 5, 2, 34]</t>
  </si>
  <si>
    <t>[-1, 6, 12, 5]</t>
  </si>
  <si>
    <t>[10, 12, 5, 4]</t>
  </si>
  <si>
    <t>[-1, 14, 2, 11, 22, 30]</t>
  </si>
  <si>
    <t>[-1, 14, 11, 22, 2, 30]</t>
  </si>
  <si>
    <t>[-1, 14, 20, 25, 27]</t>
  </si>
  <si>
    <t>[14, 11, 2, 22, 30]</t>
  </si>
  <si>
    <t>[-1, 24, 22, 23, 11, 28, 35]</t>
  </si>
  <si>
    <t>[-1, 24, 23, 22, 38, 8, 3]</t>
  </si>
  <si>
    <t>[-1, 24, 23, 22, 38, 3, 8]</t>
  </si>
  <si>
    <t>[-1, 38, 11, 36, 13]</t>
  </si>
  <si>
    <t>[23, 38, 11, 13, 36]</t>
  </si>
  <si>
    <t>[-1, 37, 2, 39, 18, 19, 30]</t>
  </si>
  <si>
    <t>[-1, 37, 18, 2, 39, 30, 19]</t>
  </si>
  <si>
    <t>[-1, 37, 39, 18, 2, 30, 19]</t>
  </si>
  <si>
    <t>[-1, 29, 6]</t>
  </si>
  <si>
    <t>[37, 18, 2, 39, 30, 19]</t>
  </si>
  <si>
    <t>[-1, 13, 4, 11, 36, 24]</t>
  </si>
  <si>
    <t>[-1, 13, 4, 36, 11, 24]</t>
  </si>
  <si>
    <t>[-1, 13, 36, 4, 11, 24]</t>
  </si>
  <si>
    <t>[-1, 13, 36, 24]</t>
  </si>
  <si>
    <t>[14, 0, 5, 27, 2]</t>
  </si>
  <si>
    <t>[-1, 25, 8]</t>
  </si>
  <si>
    <t>[25, 8]</t>
  </si>
  <si>
    <t>[-1, 2, 23, 31, 24, 0, 27]</t>
  </si>
  <si>
    <t>[-1, 2, 31, 23, 24, 0, 27]</t>
  </si>
  <si>
    <t>[-1, 38, 19]</t>
  </si>
  <si>
    <t>[2, 23, 38, 11]</t>
  </si>
  <si>
    <t>[-1, 27, 1, 5, 13, 19, 4, 31, 39]</t>
  </si>
  <si>
    <t>[-1, 27, 5, 1, 13, 19, 39, 31, 4]</t>
  </si>
  <si>
    <t>[-1, 27, 1, 5, 13, 19, 39, 31, 4]</t>
  </si>
  <si>
    <t>[-1, 33, 0, 9, 38]</t>
  </si>
  <si>
    <t>[27, 33, 9, 0]</t>
  </si>
  <si>
    <t>[-1, 15, 23, 33, 34]</t>
  </si>
  <si>
    <t>[-1, 17, 21, 2]</t>
  </si>
  <si>
    <t>[15, 23, 34, 33]</t>
  </si>
  <si>
    <t>[-1, 36, 0, 31, 21, 6, 7, 34]</t>
  </si>
  <si>
    <t>[-1, 36, 0, 31, 21, 6, 34, 7]</t>
  </si>
  <si>
    <t>[-1, 36, 31, 0, 6, 21, 7, 34]</t>
  </si>
  <si>
    <t>[-1, 36, 37]</t>
  </si>
  <si>
    <t>[36, 0, 31, 17]</t>
  </si>
  <si>
    <t>[-1, 11, 2, 21]</t>
  </si>
  <si>
    <t>[11, 2, 21]</t>
  </si>
  <si>
    <t>[-1, 39, 2, 5, 21, 31, 32]</t>
  </si>
  <si>
    <t>[-1, 39, 2, 31, 28, 5]</t>
  </si>
  <si>
    <t>[-1, 39, 5, 28, 21, 2]</t>
  </si>
  <si>
    <t>[-1, 2, 28, 13, 30]</t>
  </si>
  <si>
    <t>[39, 2, 31, 21, 28]</t>
  </si>
  <si>
    <t>[-1, 30, 22, 6, 8, 26, 35]</t>
  </si>
  <si>
    <t>[-1, 30, 22, 21, 19, 31]</t>
  </si>
  <si>
    <t>[-1, 30, 22, 21, 31, 19]</t>
  </si>
  <si>
    <t>[-1, 18, 21, 25]</t>
  </si>
  <si>
    <t>[30, 22, 0, 33, 9, 5, 13, 20]</t>
  </si>
  <si>
    <t>[-1, 26, 28, 3, 8, 4, 6, 15]</t>
  </si>
  <si>
    <t>[-1, 26, 28, 3, 8, 6, 15, 4]</t>
  </si>
  <si>
    <t>[-1, 29, 31, 0]</t>
  </si>
  <si>
    <t>[29, 0, 31]</t>
  </si>
  <si>
    <t>[-1, 36, 9, 11, 33]</t>
  </si>
  <si>
    <t>[-1, 36, 11, 23]</t>
  </si>
  <si>
    <t>[-1, 36, 23, 3]</t>
  </si>
  <si>
    <t>[36, 11, 23]</t>
  </si>
  <si>
    <t>[-1, 16, 38, 11, 26, 35, 12, 8]</t>
  </si>
  <si>
    <t>[-1, 21, 17, 11, 38, 39, 9]</t>
  </si>
  <si>
    <t>[-1, 21, 10, 3]</t>
  </si>
  <si>
    <t>[21, 14, 10, 0, 18]</t>
  </si>
  <si>
    <t>[-1, 8, 38, 4]</t>
  </si>
  <si>
    <t>[-1, 27, 38, 21]</t>
  </si>
  <si>
    <t>[27, 38, 21]</t>
  </si>
  <si>
    <t>[-1, 2, 7, 27, 38, 26, 29]</t>
  </si>
  <si>
    <t>[-1, 2, 7, 27, 38, 29, 26]</t>
  </si>
  <si>
    <t>[-1, 7, 27, 0, 8, 14, 33]</t>
  </si>
  <si>
    <t>[2, 7, 38, 27, 29, 26]</t>
  </si>
  <si>
    <t>[-1, 2, 5, 22, 13, 8, 9]</t>
  </si>
  <si>
    <t>[-1, 36, 1, 5, 22, 13, 8, 9]</t>
  </si>
  <si>
    <t>[-1, 2, 5, 22, 32, 15]</t>
  </si>
  <si>
    <t>[-1, 22, 6, 39]</t>
  </si>
  <si>
    <t>[2, 5, 22, 32, 15]</t>
  </si>
  <si>
    <t>[-1, 0, 17, 31, 21, 7, 3]</t>
  </si>
  <si>
    <t>[-1, 0, 32, 17, 23]</t>
  </si>
  <si>
    <t>[0, 32, 17, 23]</t>
  </si>
  <si>
    <t>[-1, 4, 14, 20, 23, 5, 16]</t>
  </si>
  <si>
    <t>[-1, 35, 32, 18, 16]</t>
  </si>
  <si>
    <t>[4, 14, 23, 5, 16]</t>
  </si>
  <si>
    <t>[-1, 23, 33, 35, 37, 6, 30, 12]</t>
  </si>
  <si>
    <t>[-1, 23, 37, 33, 35, 6, 30, 12]</t>
  </si>
  <si>
    <t>[-1, 35, 23, 33, 37, 30, 6, 12]</t>
  </si>
  <si>
    <t>[-1, 23, 22, 31, 16]</t>
  </si>
  <si>
    <t>[35, 23, 31, 30, 6]</t>
  </si>
  <si>
    <t>[-1, 32, 13, 16, 35, 1, 0, 39, 11]</t>
  </si>
  <si>
    <t>[-1, 32, 13, 35, 16, 1, 0, 39, 11]</t>
  </si>
  <si>
    <t>[-1, 19, 26]</t>
  </si>
  <si>
    <t>[3, 19, 33, 26]</t>
  </si>
  <si>
    <t>[-1, 14, 39, 0, 10, 36]</t>
  </si>
  <si>
    <t>[-1, 1, 21, 26]</t>
  </si>
  <si>
    <t>[14, 22, 0, 10, 36]</t>
  </si>
  <si>
    <t>[-1, 39, 22, 23, 25]</t>
  </si>
  <si>
    <t>[39, 22, 25, 23]</t>
  </si>
  <si>
    <t>[-1, 36, 11, 18, 20, 30, 22, 6]</t>
  </si>
  <si>
    <t>[-1, 36, 11, 25, 20, 30]</t>
  </si>
  <si>
    <t>[-1, 36, 25, 14, 24]</t>
  </si>
  <si>
    <t>[-1, 11, 34, 6, 22]</t>
  </si>
  <si>
    <t>[36, 18, 11, 22, 6, 20, 30]</t>
  </si>
  <si>
    <t>[-1, 39, 35, 4, 31, 6, 12, 10]</t>
  </si>
  <si>
    <t>[-1, 39, 4, 31, 12, 6, 10]</t>
  </si>
  <si>
    <t>[-1, 39, 19, 31, 38, 27]</t>
  </si>
  <si>
    <t>[39, 18, 19, 11, 28, 27]</t>
  </si>
  <si>
    <t>[-1, 0, 26, 29, 4, 18, 15, 28, 31, 17]</t>
  </si>
  <si>
    <t>[-1, 0, 37, 7, 36]</t>
  </si>
  <si>
    <t>[-1, 0, 26, 29, 36, 7]</t>
  </si>
  <si>
    <t>[-1, 35, 2, 18]</t>
  </si>
  <si>
    <t>[35, 4, 18, 30]</t>
  </si>
  <si>
    <t>[-1, 6, 7, 23, 2, 35, 33]</t>
  </si>
  <si>
    <t>[-1, 38, 6, 7, 33, 35]</t>
  </si>
  <si>
    <t>[-1, 7, 38, 2, 33, 35]</t>
  </si>
  <si>
    <t>[-1, 17, 3, 0]</t>
  </si>
  <si>
    <t>[7, 38, 2, 33, 35]</t>
  </si>
  <si>
    <t>[-1, 31, 10, 32, 34, 0]</t>
  </si>
  <si>
    <t>[-1, 31, 32, 10, 34, 0]</t>
  </si>
  <si>
    <t>[-1, 32, 39, 4]</t>
  </si>
  <si>
    <t>[31, 10, 32, 34, 0]</t>
  </si>
  <si>
    <t>[-1, 4, 17, 31, 23]</t>
  </si>
  <si>
    <t>[-1, 4, 8, 5, 39]</t>
  </si>
  <si>
    <t>[4, 17, 31, 23]</t>
  </si>
  <si>
    <t>solution_rollout k=1</t>
  </si>
  <si>
    <t>time_taken k=1</t>
  </si>
  <si>
    <t>optimal_rollout k=1</t>
  </si>
  <si>
    <t>diff_iqcp_rollout k=1</t>
  </si>
  <si>
    <t>diff_greedy_rollout k=1</t>
  </si>
  <si>
    <t>[10, 34, 25, 4]</t>
  </si>
  <si>
    <t>[25, 30, 39, 4, 1, 21, 38, 3]</t>
  </si>
  <si>
    <t>[10, 16, 9, 35]</t>
  </si>
  <si>
    <t>[3, 25, 39]</t>
  </si>
  <si>
    <t>[11, 1, 4, 9, 21]</t>
  </si>
  <si>
    <t>[17, 10, 21, 24, 19]</t>
  </si>
  <si>
    <t>[6, 12, 21, 19, 2]</t>
  </si>
  <si>
    <t>[25, 16, 24, 27]</t>
  </si>
  <si>
    <t>[39, 37, 19, 30]</t>
  </si>
  <si>
    <t>[14, 26, 1, 24]</t>
  </si>
  <si>
    <t>[2, 31, 24, 27, 0]</t>
  </si>
  <si>
    <t>[36, 37]</t>
  </si>
  <si>
    <t>[30, 22, 6, 8, 35, 26]</t>
  </si>
  <si>
    <t>[26, 8, 5]</t>
  </si>
  <si>
    <t>[21, 14, 10, 3]</t>
  </si>
  <si>
    <t>[35, 37, 33, 23, 6, 12]</t>
  </si>
  <si>
    <t>[19, 33, 26]</t>
  </si>
  <si>
    <t>[39, 35, 4, 31, 6, 12, 10]</t>
  </si>
  <si>
    <t>[0, 29, 26, 7, 36]</t>
  </si>
  <si>
    <t>root degree</t>
  </si>
  <si>
    <t>solution_rollout k=2</t>
  </si>
  <si>
    <t>time_taken k=2</t>
  </si>
  <si>
    <t>optimal_rollout k=2</t>
  </si>
  <si>
    <t>diff_iqcp_rollout k=2</t>
  </si>
  <si>
    <t>diff_greedy_rollout k=2</t>
  </si>
  <si>
    <t>[19, 36, 4, 14, 1, 7]</t>
  </si>
  <si>
    <t>[10, 16, 29, 3, 1]</t>
  </si>
  <si>
    <t>[10, 15, 29, 8]</t>
  </si>
  <si>
    <t>[25, 19, 3, 39]</t>
  </si>
  <si>
    <t>[17, 24, 21, 10, 19]</t>
  </si>
  <si>
    <t>[24, 23, 22, 11, 28, 35]</t>
  </si>
  <si>
    <t>[2, 24, 31, 23, 27, 0]</t>
  </si>
  <si>
    <t>[36, 0, 31, 21, 6, 34, 7]</t>
  </si>
  <si>
    <t>[39, 2, 5, 31, 21, 32]</t>
  </si>
  <si>
    <t>[30, 22, 6, 35, 26, 8]</t>
  </si>
  <si>
    <t>[26, 28, 3, 8, 4, 6, 15]</t>
  </si>
  <si>
    <t>[21, 10, 22, 5, 18, 0]</t>
  </si>
  <si>
    <t>[4, 14, 20, 23, 5, 16]</t>
  </si>
  <si>
    <t>[14, 39, 0, 10, 36]</t>
  </si>
  <si>
    <t>[36, 14, 25, 24]</t>
  </si>
  <si>
    <t>solution_rollout k=3</t>
  </si>
  <si>
    <t>time_taken k=3</t>
  </si>
  <si>
    <t>optimal_rollout k=3</t>
  </si>
  <si>
    <t>diff_iqcp_rollout k=3</t>
  </si>
  <si>
    <t>diff_ilp_rollout k=3</t>
  </si>
  <si>
    <t>diff_greedy_rollout k=3</t>
  </si>
  <si>
    <t>Instancias</t>
  </si>
  <si>
    <t>Prom. Nodos salvados óptimo IQCP</t>
  </si>
  <si>
    <t>Prom. Nodos salvados Rollout k=1</t>
  </si>
  <si>
    <t>Prom. Nodos salvados Rollout k=2</t>
  </si>
  <si>
    <t>Prom. Nodos salvados Rollout k=3</t>
  </si>
  <si>
    <t>Prom. T-CPU MIQCP</t>
  </si>
  <si>
    <t>Prom. T-CPU IQCP</t>
  </si>
  <si>
    <t>Prom. T-CPU ILP</t>
  </si>
  <si>
    <t>Prom. T-CPU Rollout k=1</t>
  </si>
  <si>
    <t>Prom. T-CPU Rollout k=2</t>
  </si>
  <si>
    <t>Prom. T-CPU Rollout k=3</t>
  </si>
  <si>
    <t>Grado raíz</t>
  </si>
  <si>
    <t>duration_ilp</t>
  </si>
  <si>
    <t>solution_ilp</t>
  </si>
  <si>
    <t>optimal_ilp</t>
  </si>
  <si>
    <t>GAP Rollout k=1</t>
  </si>
  <si>
    <t>GAP Rollout k=2</t>
  </si>
  <si>
    <t>GAP Rollout k=3</t>
  </si>
  <si>
    <t>Greedy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</si>
</sst>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86A75-2371-4853-9228-56B68DF7A72B}" name="Table1" displayName="Table1" ref="A1:AH51">
  <autoFilter ref="A1:AH51" xr:uid="{22486A75-2371-4853-9228-56B68DF7A72B}"/>
  <sortState xmlns:xlrd2="http://schemas.microsoft.com/office/spreadsheetml/2017/richdata2" ref="A2:AH51">
    <sortCondition ref="A1:A51"/>
  </sortState>
  <tableColumns count="34">
    <tableColumn id="1" xr3:uid="{71466FF1-D561-4754-A735-826C30565FE1}" name="experiment" totalsRowLabel="Total"/>
    <tableColumn id="2" xr3:uid="{79BD7B37-2DAD-47DB-ABD1-D22936E06EB0}" name="root degree"/>
    <tableColumn id="3" xr3:uid="{F439B362-F488-46BC-847C-FF2368E97703}" name="n_nodes"/>
    <tableColumn id="4" xr3:uid="{98B9C2C3-150C-46BE-8F97-F9C96A790D73}" name="duration_dp"/>
    <tableColumn id="5" xr3:uid="{D274EDBE-48F3-47CC-8D72-9E8C6BC554DD}" name="solution_dp"/>
    <tableColumn id="6" xr3:uid="{8A9ECED9-C946-406F-93AF-7DCF88234A2B}" name="optimal_dp"/>
    <tableColumn id="7" xr3:uid="{C3CE3AB9-B24B-46D2-ADD6-94302A3CE077}" name="duration_iqcp"/>
    <tableColumn id="8" xr3:uid="{F0B2BF35-80E7-4F84-AEF9-12984020E09E}" name="solution_iqcp"/>
    <tableColumn id="9" xr3:uid="{B90D0E5B-AB3F-4A95-A30C-9F562A4D7F05}" name="optimal_iqcp"/>
    <tableColumn id="10" xr3:uid="{987696FF-11ED-456A-AA01-AF5045750A1F}" name="duration_ilp"/>
    <tableColumn id="11" xr3:uid="{BCFCD3BB-6DD2-4F1E-BA73-BBD7E8E5B9E8}" name="solution_ilp"/>
    <tableColumn id="12" xr3:uid="{6525A11F-B348-4BDD-A9F3-4F7A28E68AEF}" name="optimal_ilp"/>
    <tableColumn id="13" xr3:uid="{03F821F5-0D34-4C38-8CAE-C2A0A07DF30D}" name="duration_miqcp"/>
    <tableColumn id="14" xr3:uid="{2CF1EF4B-170E-4B09-8DF0-EA1484ECC2C2}" name="solution_miqcp"/>
    <tableColumn id="15" xr3:uid="{C94DBB9B-C8E6-47FC-B090-A05B535BC89E}" name="optimal_miqcp"/>
    <tableColumn id="16" xr3:uid="{E441DFFB-5E5D-4D4C-8652-F23459B616A3}" name="duration_greedy"/>
    <tableColumn id="17" xr3:uid="{736D0CAA-9CFF-4FCF-8290-9C5D5C18145C}" name="solution_greedy"/>
    <tableColumn id="18" xr3:uid="{E4E88DAA-9E33-45DD-AA1C-51596D0935AE}" name="optimal_greedy"/>
    <tableColumn id="19" xr3:uid="{AEC8F35E-5707-4EE9-8413-2EB62A70D2E6}" name="solution_rollout k=1"/>
    <tableColumn id="20" xr3:uid="{E2B82D1A-FEAC-48DD-A320-47FA56D7FF6B}" name="time_taken k=1" totalsRowFunction="sum"/>
    <tableColumn id="21" xr3:uid="{3F03150C-F872-4C07-8625-9296178F0B1E}" name="optimal_rollout k=1"/>
    <tableColumn id="22" xr3:uid="{0F560CDA-3227-48BD-A3A7-8F820F709C05}" name="diff_iqcp_rollout k=1"/>
    <tableColumn id="23" xr3:uid="{CD3C886F-3113-43F7-9523-875D1F88CDD1}" name="diff_greedy_rollout k=1"/>
    <tableColumn id="24" xr3:uid="{F3147323-C092-4E91-9AF5-D7500536D47A}" name="solution_rollout k=2"/>
    <tableColumn id="25" xr3:uid="{36E93BEF-D5F6-476D-8381-DAB7F4413F9D}" name="time_taken k=2" totalsRowFunction="sum"/>
    <tableColumn id="26" xr3:uid="{3CDEE1BD-F90E-43C3-8A8C-ED3A84744C77}" name="optimal_rollout k=2"/>
    <tableColumn id="27" xr3:uid="{94823D9A-C11F-43E3-B49C-F5BB0CC5AFC5}" name="diff_iqcp_rollout k=2"/>
    <tableColumn id="28" xr3:uid="{DA508B1C-0F37-44AA-B699-F2E3D9525C73}" name="diff_greedy_rollout k=2"/>
    <tableColumn id="29" xr3:uid="{AAE8466D-B5DF-4C8C-9BC9-18D92C488D11}" name="solution_rollout k=3"/>
    <tableColumn id="30" xr3:uid="{5B5ADE68-25E5-43FD-941A-7B9E74184A16}" name="time_taken k=3" totalsRowFunction="sum"/>
    <tableColumn id="31" xr3:uid="{1305342A-FD33-4EF3-9638-CD2A4D35BB1A}" name="optimal_rollout k=3"/>
    <tableColumn id="32" xr3:uid="{AA5C1CBB-39EA-4574-9FE7-37C1C5E6AD20}" name="diff_iqcp_rollout k=3"/>
    <tableColumn id="33" xr3:uid="{7CD6343E-F93B-45A2-B50A-F0473C9B6910}" name="diff_ilp_rollout k=3"/>
    <tableColumn id="34" xr3:uid="{DE81FB48-3DC1-46C6-B324-C483CF9D3EB9}" name="diff_greedy_rollout k=3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F1CCC-9CB7-480D-B17E-1B35E4D98B5B}" name="Table2" displayName="Table2" ref="A1:J6" totalsRowShown="0" headerRowDxfId="22" headerRowBorderDxfId="21" tableBorderDxfId="20">
  <autoFilter ref="A1:J6" xr:uid="{930F1CCC-9CB7-480D-B17E-1B35E4D98B5B}"/>
  <tableColumns count="10">
    <tableColumn id="1" xr3:uid="{1428BDFA-2B01-4622-8306-1CBC4EF7E2DA}" name="Grado raíz"/>
    <tableColumn id="2" xr3:uid="{A77E6E41-B9BA-4B75-9E82-384F9ECEB7BD}" name="Instancias" dataDxfId="19">
      <calculatedColumnFormula>COUNTIF(Table1[root degree],Table2[[#This Row],[Grado raíz]])</calculatedColumnFormula>
    </tableColumn>
    <tableColumn id="3" xr3:uid="{96D42977-BBB2-4A32-8F69-01D922DAF5B7}" name="Prom. Nodos salvados óptimo IQCP" dataDxfId="18">
      <calculatedColumnFormula>AVERAGEIF(Table1[root degree],Table2[[#This Row],[Grado raíz]],Table1[optimal_iqcp])</calculatedColumnFormula>
    </tableColumn>
    <tableColumn id="4" xr3:uid="{4EE66CEC-1C6B-49BD-9629-787F3B83372D}" name="Prom. Nodos salvados Rollout k=1" dataDxfId="17">
      <calculatedColumnFormula>AVERAGEIF(Table1[root degree],Table2[[#This Row],[Grado raíz]],Table1[optimal_rollout k=1])</calculatedColumnFormula>
    </tableColumn>
    <tableColumn id="5" xr3:uid="{1ED0726B-4771-4FF2-B5DB-2B97A52BE1E3}" name="Prom. Nodos salvados Rollout k=2" dataDxfId="16">
      <calculatedColumnFormula>AVERAGEIF(Table1[root degree],Table2[[#This Row],[Grado raíz]],Table1[optimal_rollout k=2])</calculatedColumnFormula>
    </tableColumn>
    <tableColumn id="6" xr3:uid="{80C073A2-83AA-42BC-A05E-218D628EEFE3}" name="Prom. Nodos salvados Rollout k=3" dataDxfId="15">
      <calculatedColumnFormula>AVERAGEIF(Table1[root degree],Table2[[#This Row],[Grado raíz]],Table1[optimal_rollout k=3])</calculatedColumnFormula>
    </tableColumn>
    <tableColumn id="7" xr3:uid="{1BBAC66C-342B-4517-B449-93F254A498A3}" name="GAP Rollout k=1" dataDxfId="14">
      <calculatedColumnFormula>((Table2[[#This Row],[Prom. Nodos salvados óptimo IQCP]]-Table2[[#This Row],[Prom. Nodos salvados Rollout k=1]])/Table2[[#This Row],[Prom. Nodos salvados óptimo IQCP]])*100</calculatedColumnFormula>
    </tableColumn>
    <tableColumn id="8" xr3:uid="{50D92423-F14D-4A93-B730-417999873538}" name="GAP Rollout k=2" dataDxfId="13">
      <calculatedColumnFormula>((Table2[[#This Row],[Prom. Nodos salvados óptimo IQCP]]-Table2[[#This Row],[Prom. Nodos salvados Rollout k=2]])/Table2[[#This Row],[Prom. Nodos salvados óptimo IQCP]])*100</calculatedColumnFormula>
    </tableColumn>
    <tableColumn id="9" xr3:uid="{966E8F23-6EDA-4765-8CF7-44BFD50307ED}" name="GAP Rollout k=3" dataDxfId="12">
      <calculatedColumnFormula>((Table2[[#This Row],[Prom. Nodos salvados óptimo IQCP]]-Table2[[#This Row],[Prom. Nodos salvados Rollout k=3]])/Table2[[#This Row],[Prom. Nodos salvados óptimo IQCP]])*100</calculatedColumnFormula>
    </tableColumn>
    <tableColumn id="10" xr3:uid="{3DE6C6BE-9A02-4802-8EFE-FD70CA824AA2}" name="Greedy" dataDxfId="11">
      <calculatedColumnFormula>AVERAGEIF(Table1[root degree],Table2[[#This Row],[Grado raíz]],Table1[optimal_greedy])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CCF9EA-4194-4328-B98B-770C12B8282F}" name="Table3" displayName="Table3" ref="A12:I17" totalsRowShown="0" headerRowDxfId="10" headerRowBorderDxfId="9" tableBorderDxfId="8">
  <autoFilter ref="A12:I17" xr:uid="{5BCCF9EA-4194-4328-B98B-770C12B8282F}"/>
  <tableColumns count="9">
    <tableColumn id="1" xr3:uid="{76F1B0EC-277A-4EA8-A355-38D872CA19BD}" name="Grado raíz"/>
    <tableColumn id="2" xr3:uid="{12C8B7F5-D8E1-4575-BB15-E3D30EFADC19}" name="Instancias" dataDxfId="7">
      <calculatedColumnFormula>COUNTIF(Table1[root degree],Table3[[#This Row],[Grado raíz]])</calculatedColumnFormula>
    </tableColumn>
    <tableColumn id="3" xr3:uid="{807F8B9C-9C73-4E16-B969-B6D1C49529D8}" name="Prom. T-CPU MIQCP" dataDxfId="6">
      <calculatedColumnFormula>AVERAGEIF(Table1[root degree],Table3[[#This Row],[Grado raíz]],Table1[duration_miqcp])</calculatedColumnFormula>
    </tableColumn>
    <tableColumn id="4" xr3:uid="{9B6B7C7D-4350-449F-9EE6-176B59DADAEE}" name="Prom. T-CPU IQCP" dataDxfId="5">
      <calculatedColumnFormula>AVERAGEIF(Table1[root degree],Table3[[#This Row],[Grado raíz]],Table1[duration_iqcp])</calculatedColumnFormula>
    </tableColumn>
    <tableColumn id="5" xr3:uid="{0C3B864F-0EDF-49C5-A55E-2323AD38DAB7}" name="Prom. T-CPU ILP" dataDxfId="4">
      <calculatedColumnFormula>AVERAGEIF(Table1[root degree],Table3[[#This Row],[Grado raíz]],Table1[duration_ilp])</calculatedColumnFormula>
    </tableColumn>
    <tableColumn id="6" xr3:uid="{907521A4-48A5-47D0-A89B-57B18E7B64EF}" name="Prom. T-CPU Rollout k=1" dataDxfId="3">
      <calculatedColumnFormula>AVERAGEIF(Table1[root degree],Table3[[#This Row],[Grado raíz]],Table1[time_taken k=1])</calculatedColumnFormula>
    </tableColumn>
    <tableColumn id="7" xr3:uid="{E86CF385-0633-460D-BFCE-9BA31C8325D2}" name="Prom. T-CPU Rollout k=2" dataDxfId="2">
      <calculatedColumnFormula>AVERAGEIF(Table1[root degree],Table3[[#This Row],[Grado raíz]],Table1[time_taken k=2])</calculatedColumnFormula>
    </tableColumn>
    <tableColumn id="8" xr3:uid="{06012AAB-F151-4FD2-B0BC-09B17B2BDBCC}" name="Prom. T-CPU Rollout k=3" dataDxfId="1">
      <calculatedColumnFormula>AVERAGEIF(Table1[root degree],Table3[[#This Row],[Grado raíz]],Table1[time_taken k=3])</calculatedColumnFormula>
    </tableColumn>
    <tableColumn id="9" xr3:uid="{1BBE5458-6827-4BF0-B481-BBB72DAE5882}" name="Greedy" dataDxfId="0">
      <calculatedColumnFormula>AVERAGEIF(Table1[root degree],Table3[[#This Row],[Grado raíz]],Table1[duration_greedy])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F01254-796B-4DD2-9FEB-88241E1DD593}" name="Table15" displayName="Table15" ref="A1:J51">
  <autoFilter ref="A1:J51" xr:uid="{22486A75-2371-4853-9228-56B68DF7A72B}"/>
  <tableColumns count="10">
    <tableColumn id="1" xr3:uid="{39671093-E819-49A1-82F0-3D9418D0AECE}" name="experiment" totalsRowLabel="Total"/>
    <tableColumn id="2" xr3:uid="{680BDCA6-3834-4038-8528-3165FD97DD86}" name="root degree"/>
    <tableColumn id="6" xr3:uid="{7DA35772-C250-43BD-A467-0114B92171EB}" name="optimal_dp" totalsRowFunction="average"/>
    <tableColumn id="9" xr3:uid="{B594C6FA-05FF-4628-807C-E62A45E759EA}" name="optimal_iqcp" totalsRowFunction="average"/>
    <tableColumn id="12" xr3:uid="{7467B086-4D2C-4EE1-9389-8ECBCC89E4F6}" name="optimal_ilp" totalsRowFunction="average"/>
    <tableColumn id="15" xr3:uid="{67324183-2E76-4EEC-ADAA-ED7B37818F1F}" name="optimal_miqcp" totalsRowFunction="average"/>
    <tableColumn id="18" xr3:uid="{3BCC8026-89C1-4C6A-B6DF-5764FBDCAD49}" name="optimal_greedy" totalsRowFunction="average"/>
    <tableColumn id="21" xr3:uid="{5646D2BD-3D66-4843-87A6-38575F4C13DC}" name="optimal_rollout k=1" totalsRowFunction="average"/>
    <tableColumn id="26" xr3:uid="{A7698842-A00C-4B57-9D5A-32EEEB1A88B1}" name="optimal_rollout k=2"/>
    <tableColumn id="31" xr3:uid="{7C04511E-6AAB-48C7-B1B3-35967B84F865}" name="optimal_rollout k=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C528CC-4DA5-4525-A6E0-F6FEB28197DA}" name="Table16" displayName="Table16" ref="A1:J51">
  <autoFilter ref="A1:J51" xr:uid="{22486A75-2371-4853-9228-56B68DF7A72B}"/>
  <tableColumns count="10">
    <tableColumn id="1" xr3:uid="{200DC54F-4831-4EDB-AAC0-AAAC73F6AA35}" name="experiment" totalsRowLabel="Total"/>
    <tableColumn id="2" xr3:uid="{9DDE523E-EA29-4BE2-AFFF-B6AAC2750137}" name="root degree"/>
    <tableColumn id="4" xr3:uid="{FFB632A4-87BE-4D84-85F0-39984D723474}" name="duration_dp"/>
    <tableColumn id="7" xr3:uid="{9450FF14-4F00-465F-9006-CAE6CD693A8B}" name="duration_iqcp"/>
    <tableColumn id="10" xr3:uid="{05CCD2A4-6231-4656-BB1D-D7CAE926463C}" name="duration_ilp"/>
    <tableColumn id="13" xr3:uid="{334C61E0-6547-4E65-B679-54DE7E61B5EE}" name="duration_miqcp"/>
    <tableColumn id="16" xr3:uid="{E3F03EBD-BB30-46E1-8FB4-272FCD28A363}" name="duration_greedy"/>
    <tableColumn id="20" xr3:uid="{1E3BE7EE-3243-411A-99D0-0DA3D45AAEE7}" name="time_taken k=1" totalsRowFunction="sum"/>
    <tableColumn id="25" xr3:uid="{AB4D395A-ADE8-4EE2-B9A1-3437B7A00178}" name="time_taken k=2" totalsRowFunction="sum"/>
    <tableColumn id="30" xr3:uid="{1EF9A6A3-E30A-4739-81B7-64E9E846EFEE}" name="time_taken k=3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1035E5-AE1B-4722-8D4E-8DAB4CA7F528}" name="Table17" displayName="Table17" ref="A1:E51">
  <autoFilter ref="A1:E51" xr:uid="{22486A75-2371-4853-9228-56B68DF7A72B}"/>
  <tableColumns count="5">
    <tableColumn id="1" xr3:uid="{FE934C62-E753-498D-9677-FD09D976FBB1}" name="experiment" totalsRowLabel="Total"/>
    <tableColumn id="8" xr3:uid="{C4388D1C-F531-4C2E-A644-1431E6DA1686}" name="solution_iqcp"/>
    <tableColumn id="19" xr3:uid="{FD7DEA5C-7C2F-457E-8F22-D429EB850236}" name="solution_rollout k=1"/>
    <tableColumn id="24" xr3:uid="{B5F63092-2959-4157-811A-E78F92F1A130}" name="solution_rollout k=2"/>
    <tableColumn id="29" xr3:uid="{A8F62F16-FE80-4E04-B9E6-ECE06931AE06}" name="solution_rollout k=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05D3-32E2-4D19-8EBF-16429DDA6C9C}">
  <dimension ref="A1:AH51"/>
  <sheetViews>
    <sheetView tabSelected="1" workbookViewId="0">
      <selection activeCell="H11" sqref="H11"/>
    </sheetView>
  </sheetViews>
  <sheetFormatPr defaultRowHeight="14.5" x14ac:dyDescent="0.35"/>
  <cols>
    <col min="1" max="2" width="13.54296875" customWidth="1"/>
    <col min="3" max="3" width="10.7265625" customWidth="1"/>
    <col min="4" max="4" width="13.81640625" customWidth="1"/>
    <col min="5" max="5" width="13.7265625" customWidth="1"/>
    <col min="6" max="6" width="13.1796875" customWidth="1"/>
    <col min="7" max="7" width="15.453125" customWidth="1"/>
    <col min="8" max="8" width="15.26953125" customWidth="1"/>
    <col min="9" max="9" width="14.7265625" customWidth="1"/>
    <col min="10" max="10" width="14" bestFit="1" customWidth="1"/>
    <col min="11" max="11" width="28.453125" bestFit="1" customWidth="1"/>
    <col min="12" max="12" width="13.26953125" bestFit="1" customWidth="1"/>
    <col min="13" max="13" width="17.1796875" customWidth="1"/>
    <col min="14" max="14" width="17" customWidth="1"/>
    <col min="15" max="15" width="16.453125" customWidth="1"/>
    <col min="16" max="16" width="17.7265625" customWidth="1"/>
    <col min="17" max="17" width="17.54296875" customWidth="1"/>
    <col min="18" max="18" width="17" customWidth="1"/>
    <col min="19" max="19" width="22.54296875" bestFit="1" customWidth="1"/>
    <col min="20" max="20" width="16.54296875" customWidth="1"/>
    <col min="21" max="21" width="20.26953125" customWidth="1"/>
    <col min="22" max="22" width="21.26953125" customWidth="1"/>
    <col min="23" max="23" width="23.54296875" customWidth="1"/>
    <col min="24" max="24" width="22.54296875" bestFit="1" customWidth="1"/>
    <col min="25" max="25" width="16.54296875" customWidth="1"/>
    <col min="26" max="26" width="20.26953125" customWidth="1"/>
    <col min="27" max="27" width="21.26953125" customWidth="1"/>
    <col min="28" max="28" width="23.54296875" customWidth="1"/>
    <col min="29" max="29" width="20.81640625" customWidth="1"/>
    <col min="30" max="30" width="16.54296875" customWidth="1"/>
    <col min="31" max="31" width="20.26953125" customWidth="1"/>
    <col min="32" max="32" width="21.26953125" customWidth="1"/>
    <col min="33" max="33" width="19.7265625" customWidth="1"/>
    <col min="34" max="34" width="23.54296875" customWidth="1"/>
  </cols>
  <sheetData>
    <row r="1" spans="1:34" x14ac:dyDescent="0.35">
      <c r="A1" t="s">
        <v>0</v>
      </c>
      <c r="B1" t="s">
        <v>232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271</v>
      </c>
      <c r="K1" t="s">
        <v>272</v>
      </c>
      <c r="L1" t="s">
        <v>273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</row>
    <row r="2" spans="1:34" x14ac:dyDescent="0.35">
      <c r="A2">
        <v>1</v>
      </c>
      <c r="B2">
        <v>3</v>
      </c>
      <c r="C2">
        <v>40</v>
      </c>
      <c r="D2">
        <v>41355.2283542156</v>
      </c>
      <c r="E2" t="s">
        <v>14</v>
      </c>
      <c r="F2">
        <v>36</v>
      </c>
      <c r="G2">
        <v>60.771632432937601</v>
      </c>
      <c r="H2" t="s">
        <v>14</v>
      </c>
      <c r="I2">
        <v>36</v>
      </c>
      <c r="J2">
        <v>270.91339325904801</v>
      </c>
      <c r="K2" t="s">
        <v>14</v>
      </c>
      <c r="L2">
        <v>36</v>
      </c>
      <c r="M2">
        <v>86400.129969119997</v>
      </c>
      <c r="P2">
        <v>5.8391094207763602E-3</v>
      </c>
      <c r="Q2" t="s">
        <v>14</v>
      </c>
      <c r="R2">
        <v>36</v>
      </c>
      <c r="S2" t="s">
        <v>15</v>
      </c>
      <c r="T2">
        <v>8.6160457999994805E-2</v>
      </c>
      <c r="U2">
        <v>36</v>
      </c>
      <c r="V2">
        <v>0</v>
      </c>
      <c r="W2">
        <v>0</v>
      </c>
      <c r="X2" t="s">
        <v>15</v>
      </c>
      <c r="Y2">
        <v>0.77138975100024199</v>
      </c>
      <c r="Z2">
        <v>36</v>
      </c>
      <c r="AA2">
        <v>0</v>
      </c>
      <c r="AB2">
        <v>0</v>
      </c>
      <c r="AC2" t="s">
        <v>15</v>
      </c>
      <c r="AD2">
        <v>2.9789236259994101</v>
      </c>
      <c r="AE2">
        <v>36</v>
      </c>
      <c r="AF2">
        <v>0</v>
      </c>
      <c r="AG2">
        <v>0</v>
      </c>
      <c r="AH2">
        <v>0</v>
      </c>
    </row>
    <row r="3" spans="1:34" x14ac:dyDescent="0.35">
      <c r="A3">
        <v>2</v>
      </c>
      <c r="B3">
        <v>3</v>
      </c>
      <c r="C3">
        <v>40</v>
      </c>
      <c r="D3">
        <v>43866.964335918397</v>
      </c>
      <c r="E3" t="s">
        <v>16</v>
      </c>
      <c r="F3">
        <v>36</v>
      </c>
      <c r="G3">
        <v>57.756932735443101</v>
      </c>
      <c r="H3" t="s">
        <v>16</v>
      </c>
      <c r="I3">
        <v>36</v>
      </c>
      <c r="J3">
        <v>187.91967535018901</v>
      </c>
      <c r="K3" t="s">
        <v>16</v>
      </c>
      <c r="L3">
        <v>36</v>
      </c>
      <c r="M3">
        <v>86400.254833221406</v>
      </c>
      <c r="P3">
        <v>4.7655105590820304E-3</v>
      </c>
      <c r="Q3" t="s">
        <v>16</v>
      </c>
      <c r="R3">
        <v>36</v>
      </c>
      <c r="S3" t="s">
        <v>17</v>
      </c>
      <c r="T3">
        <v>8.6154125000120901E-2</v>
      </c>
      <c r="U3">
        <v>36</v>
      </c>
      <c r="V3">
        <v>0</v>
      </c>
      <c r="W3">
        <v>0</v>
      </c>
      <c r="X3" t="s">
        <v>17</v>
      </c>
      <c r="Y3">
        <v>1.08466354199936</v>
      </c>
      <c r="Z3">
        <v>36</v>
      </c>
      <c r="AA3">
        <v>0</v>
      </c>
      <c r="AB3">
        <v>0</v>
      </c>
      <c r="AC3" t="s">
        <v>17</v>
      </c>
      <c r="AD3">
        <v>3.1687015020006499</v>
      </c>
      <c r="AE3">
        <v>36</v>
      </c>
      <c r="AF3">
        <v>0</v>
      </c>
      <c r="AG3">
        <v>0</v>
      </c>
      <c r="AH3">
        <v>0</v>
      </c>
    </row>
    <row r="4" spans="1:34" x14ac:dyDescent="0.35">
      <c r="A4">
        <v>3</v>
      </c>
      <c r="B4">
        <v>3</v>
      </c>
      <c r="C4">
        <v>40</v>
      </c>
      <c r="D4">
        <v>453.44278931617703</v>
      </c>
      <c r="E4" t="s">
        <v>18</v>
      </c>
      <c r="F4">
        <v>33</v>
      </c>
      <c r="G4">
        <v>47.695116281509399</v>
      </c>
      <c r="H4" t="s">
        <v>19</v>
      </c>
      <c r="I4">
        <v>33</v>
      </c>
      <c r="J4">
        <v>196.83315134048399</v>
      </c>
      <c r="K4" t="s">
        <v>20</v>
      </c>
      <c r="L4">
        <v>33</v>
      </c>
      <c r="M4">
        <v>86400.139185190201</v>
      </c>
      <c r="P4">
        <v>5.6414604187011701E-3</v>
      </c>
      <c r="Q4" t="s">
        <v>21</v>
      </c>
      <c r="R4">
        <v>31</v>
      </c>
      <c r="S4" t="s">
        <v>22</v>
      </c>
      <c r="T4">
        <v>0.14114279199975499</v>
      </c>
      <c r="U4">
        <v>33</v>
      </c>
      <c r="V4">
        <v>0</v>
      </c>
      <c r="W4">
        <v>2</v>
      </c>
      <c r="X4" t="s">
        <v>22</v>
      </c>
      <c r="Y4">
        <v>0.39363883399983002</v>
      </c>
      <c r="Z4">
        <v>33</v>
      </c>
      <c r="AA4">
        <v>0</v>
      </c>
      <c r="AB4">
        <v>2</v>
      </c>
      <c r="AC4" t="s">
        <v>238</v>
      </c>
      <c r="AD4">
        <v>2.1978573339993002</v>
      </c>
      <c r="AE4">
        <v>33</v>
      </c>
      <c r="AF4">
        <v>0</v>
      </c>
      <c r="AG4">
        <v>0</v>
      </c>
      <c r="AH4">
        <v>2</v>
      </c>
    </row>
    <row r="5" spans="1:34" x14ac:dyDescent="0.35">
      <c r="A5">
        <v>4</v>
      </c>
      <c r="B5">
        <v>3</v>
      </c>
      <c r="C5">
        <v>40</v>
      </c>
      <c r="D5">
        <v>396.46075916290198</v>
      </c>
      <c r="E5" t="s">
        <v>23</v>
      </c>
      <c r="F5">
        <v>36</v>
      </c>
      <c r="G5">
        <v>51.4951264858245</v>
      </c>
      <c r="H5" t="s">
        <v>24</v>
      </c>
      <c r="I5">
        <v>36</v>
      </c>
      <c r="J5">
        <v>215.09952902793799</v>
      </c>
      <c r="K5" t="s">
        <v>24</v>
      </c>
      <c r="L5">
        <v>36</v>
      </c>
      <c r="M5">
        <v>86400.1290633678</v>
      </c>
      <c r="P5">
        <v>5.5739879608154297E-3</v>
      </c>
      <c r="Q5" t="s">
        <v>25</v>
      </c>
      <c r="R5">
        <v>33</v>
      </c>
      <c r="S5" t="s">
        <v>26</v>
      </c>
      <c r="T5">
        <v>0.19206783400022601</v>
      </c>
      <c r="U5">
        <v>26</v>
      </c>
      <c r="V5">
        <v>-10</v>
      </c>
      <c r="W5">
        <v>-7</v>
      </c>
      <c r="X5" t="s">
        <v>213</v>
      </c>
      <c r="Y5">
        <v>0.43922858400037501</v>
      </c>
      <c r="Z5">
        <v>36</v>
      </c>
      <c r="AA5">
        <v>0</v>
      </c>
      <c r="AB5">
        <v>3</v>
      </c>
      <c r="AC5" t="s">
        <v>239</v>
      </c>
      <c r="AD5">
        <v>1.8165461259995901</v>
      </c>
      <c r="AE5">
        <v>36</v>
      </c>
      <c r="AF5">
        <v>0</v>
      </c>
      <c r="AG5">
        <v>0</v>
      </c>
      <c r="AH5">
        <v>3</v>
      </c>
    </row>
    <row r="6" spans="1:34" x14ac:dyDescent="0.35">
      <c r="A6">
        <v>5</v>
      </c>
      <c r="B6">
        <v>3</v>
      </c>
      <c r="C6">
        <v>40</v>
      </c>
      <c r="D6">
        <v>4296.8034508228302</v>
      </c>
      <c r="E6" t="s">
        <v>27</v>
      </c>
      <c r="F6">
        <v>34</v>
      </c>
      <c r="G6">
        <v>44.4875199794769</v>
      </c>
      <c r="H6" t="s">
        <v>27</v>
      </c>
      <c r="I6">
        <v>34</v>
      </c>
      <c r="J6">
        <v>188.74511742591801</v>
      </c>
      <c r="K6" t="s">
        <v>27</v>
      </c>
      <c r="L6">
        <v>34</v>
      </c>
      <c r="M6">
        <v>86400.489632844896</v>
      </c>
      <c r="P6">
        <v>5.0759315490722604E-3</v>
      </c>
      <c r="Q6" t="s">
        <v>27</v>
      </c>
      <c r="R6">
        <v>34</v>
      </c>
      <c r="S6" t="s">
        <v>28</v>
      </c>
      <c r="T6">
        <v>0.110329999999976</v>
      </c>
      <c r="U6">
        <v>34</v>
      </c>
      <c r="V6">
        <v>0</v>
      </c>
      <c r="W6">
        <v>0</v>
      </c>
      <c r="X6" t="s">
        <v>28</v>
      </c>
      <c r="Y6">
        <v>0.43649625000034498</v>
      </c>
      <c r="Z6">
        <v>34</v>
      </c>
      <c r="AA6">
        <v>0</v>
      </c>
      <c r="AB6">
        <v>0</v>
      </c>
      <c r="AC6" t="s">
        <v>28</v>
      </c>
      <c r="AD6">
        <v>1.4178213759996601</v>
      </c>
      <c r="AE6">
        <v>34</v>
      </c>
      <c r="AF6">
        <v>0</v>
      </c>
      <c r="AG6">
        <v>0</v>
      </c>
      <c r="AH6">
        <v>0</v>
      </c>
    </row>
    <row r="7" spans="1:34" x14ac:dyDescent="0.35">
      <c r="A7">
        <v>6</v>
      </c>
      <c r="B7">
        <v>3</v>
      </c>
      <c r="C7">
        <v>40</v>
      </c>
      <c r="D7">
        <v>2946.5776097774501</v>
      </c>
      <c r="E7" t="s">
        <v>29</v>
      </c>
      <c r="F7">
        <v>36</v>
      </c>
      <c r="G7">
        <v>45.887658596038797</v>
      </c>
      <c r="H7" t="s">
        <v>30</v>
      </c>
      <c r="I7">
        <v>36</v>
      </c>
      <c r="J7">
        <v>111.08167362213101</v>
      </c>
      <c r="K7" t="s">
        <v>30</v>
      </c>
      <c r="L7">
        <v>36</v>
      </c>
      <c r="M7">
        <v>86400.133324861497</v>
      </c>
      <c r="P7">
        <v>4.7135353088378898E-3</v>
      </c>
      <c r="Q7" t="s">
        <v>30</v>
      </c>
      <c r="R7">
        <v>36</v>
      </c>
      <c r="S7" t="s">
        <v>31</v>
      </c>
      <c r="T7">
        <v>0.22504466700001999</v>
      </c>
      <c r="U7">
        <v>36</v>
      </c>
      <c r="V7">
        <v>0</v>
      </c>
      <c r="W7">
        <v>0</v>
      </c>
      <c r="X7" t="s">
        <v>31</v>
      </c>
      <c r="Y7">
        <v>1.8452987929995199</v>
      </c>
      <c r="Z7">
        <v>36</v>
      </c>
      <c r="AA7">
        <v>0</v>
      </c>
      <c r="AB7">
        <v>0</v>
      </c>
      <c r="AC7" t="s">
        <v>31</v>
      </c>
      <c r="AD7">
        <v>5.5470325030000804</v>
      </c>
      <c r="AE7">
        <v>36</v>
      </c>
      <c r="AF7">
        <v>0</v>
      </c>
      <c r="AG7">
        <v>0</v>
      </c>
      <c r="AH7">
        <v>0</v>
      </c>
    </row>
    <row r="8" spans="1:34" x14ac:dyDescent="0.35">
      <c r="A8">
        <v>7</v>
      </c>
      <c r="B8">
        <v>3</v>
      </c>
      <c r="C8">
        <v>40</v>
      </c>
      <c r="D8">
        <v>1297.5956439971901</v>
      </c>
      <c r="E8" t="s">
        <v>32</v>
      </c>
      <c r="F8">
        <v>34</v>
      </c>
      <c r="G8">
        <v>77.707883358001695</v>
      </c>
      <c r="H8" t="s">
        <v>33</v>
      </c>
      <c r="I8">
        <v>34</v>
      </c>
      <c r="J8">
        <v>256.97025418281498</v>
      </c>
      <c r="K8" t="s">
        <v>33</v>
      </c>
      <c r="L8">
        <v>34</v>
      </c>
      <c r="M8">
        <v>86400.128589868502</v>
      </c>
      <c r="P8">
        <v>5.3551197052001901E-3</v>
      </c>
      <c r="Q8" t="s">
        <v>34</v>
      </c>
      <c r="R8">
        <v>29</v>
      </c>
      <c r="S8" t="s">
        <v>35</v>
      </c>
      <c r="T8">
        <v>0.157853499999873</v>
      </c>
      <c r="U8">
        <v>34</v>
      </c>
      <c r="V8">
        <v>0</v>
      </c>
      <c r="W8">
        <v>5</v>
      </c>
      <c r="X8" t="s">
        <v>35</v>
      </c>
      <c r="Y8">
        <v>0.87887870899976395</v>
      </c>
      <c r="Z8">
        <v>34</v>
      </c>
      <c r="AA8">
        <v>0</v>
      </c>
      <c r="AB8">
        <v>5</v>
      </c>
      <c r="AC8" t="s">
        <v>35</v>
      </c>
      <c r="AD8">
        <v>2.4873180009999398</v>
      </c>
      <c r="AE8">
        <v>34</v>
      </c>
      <c r="AF8">
        <v>0</v>
      </c>
      <c r="AG8">
        <v>0</v>
      </c>
      <c r="AH8">
        <v>5</v>
      </c>
    </row>
    <row r="9" spans="1:34" x14ac:dyDescent="0.35">
      <c r="A9">
        <v>8</v>
      </c>
      <c r="B9">
        <v>3</v>
      </c>
      <c r="C9">
        <v>40</v>
      </c>
      <c r="D9">
        <v>362.63930082321099</v>
      </c>
      <c r="E9" t="s">
        <v>36</v>
      </c>
      <c r="F9">
        <v>33</v>
      </c>
      <c r="G9">
        <v>78.8139390945434</v>
      </c>
      <c r="H9" t="s">
        <v>36</v>
      </c>
      <c r="I9">
        <v>33</v>
      </c>
      <c r="J9">
        <v>297.10240054130497</v>
      </c>
      <c r="K9" t="s">
        <v>36</v>
      </c>
      <c r="L9">
        <v>33</v>
      </c>
      <c r="M9">
        <v>86400.132736921296</v>
      </c>
      <c r="P9">
        <v>4.8964023590087804E-3</v>
      </c>
      <c r="Q9" t="s">
        <v>37</v>
      </c>
      <c r="R9">
        <v>31</v>
      </c>
      <c r="S9" t="s">
        <v>38</v>
      </c>
      <c r="T9">
        <v>0.16448504199979599</v>
      </c>
      <c r="U9">
        <v>33</v>
      </c>
      <c r="V9">
        <v>0</v>
      </c>
      <c r="W9">
        <v>2</v>
      </c>
      <c r="X9" t="s">
        <v>38</v>
      </c>
      <c r="Y9">
        <v>0.51000645900057795</v>
      </c>
      <c r="Z9">
        <v>33</v>
      </c>
      <c r="AA9">
        <v>0</v>
      </c>
      <c r="AB9">
        <v>2</v>
      </c>
      <c r="AC9" t="s">
        <v>240</v>
      </c>
      <c r="AD9">
        <v>1.67395616799967</v>
      </c>
      <c r="AE9">
        <v>33</v>
      </c>
      <c r="AF9">
        <v>0</v>
      </c>
      <c r="AG9">
        <v>0</v>
      </c>
      <c r="AH9">
        <v>2</v>
      </c>
    </row>
    <row r="10" spans="1:34" x14ac:dyDescent="0.35">
      <c r="A10">
        <v>9</v>
      </c>
      <c r="B10">
        <v>3</v>
      </c>
      <c r="C10">
        <v>40</v>
      </c>
      <c r="D10">
        <v>471.46557950973499</v>
      </c>
      <c r="E10" t="s">
        <v>39</v>
      </c>
      <c r="F10">
        <v>33</v>
      </c>
      <c r="G10">
        <v>77.797639846801701</v>
      </c>
      <c r="H10" t="s">
        <v>40</v>
      </c>
      <c r="I10">
        <v>33</v>
      </c>
      <c r="J10">
        <v>244.49754166603</v>
      </c>
      <c r="K10" t="s">
        <v>39</v>
      </c>
      <c r="L10">
        <v>33</v>
      </c>
      <c r="M10">
        <v>86400.1265144348</v>
      </c>
      <c r="P10">
        <v>4.8739910125732396E-3</v>
      </c>
      <c r="Q10" t="s">
        <v>41</v>
      </c>
      <c r="R10">
        <v>29</v>
      </c>
      <c r="S10" t="s">
        <v>42</v>
      </c>
      <c r="T10">
        <v>0.184896415999901</v>
      </c>
      <c r="U10">
        <v>32</v>
      </c>
      <c r="V10">
        <v>-1</v>
      </c>
      <c r="W10">
        <v>3</v>
      </c>
      <c r="X10" t="s">
        <v>214</v>
      </c>
      <c r="Y10">
        <v>0.99781641700064905</v>
      </c>
      <c r="Z10">
        <v>32</v>
      </c>
      <c r="AA10">
        <v>-1</v>
      </c>
      <c r="AB10">
        <v>3</v>
      </c>
      <c r="AC10" t="s">
        <v>214</v>
      </c>
      <c r="AD10">
        <v>3.3030031670004898</v>
      </c>
      <c r="AE10">
        <v>32</v>
      </c>
      <c r="AF10">
        <v>-1</v>
      </c>
      <c r="AG10">
        <v>-1</v>
      </c>
      <c r="AH10">
        <v>3</v>
      </c>
    </row>
    <row r="11" spans="1:34" x14ac:dyDescent="0.35">
      <c r="A11">
        <v>10</v>
      </c>
      <c r="B11">
        <v>3</v>
      </c>
      <c r="C11">
        <v>40</v>
      </c>
      <c r="D11">
        <v>434.91103124618502</v>
      </c>
      <c r="E11" t="s">
        <v>43</v>
      </c>
      <c r="F11">
        <v>36</v>
      </c>
      <c r="G11">
        <v>51.784494161605799</v>
      </c>
      <c r="H11" t="s">
        <v>44</v>
      </c>
      <c r="I11">
        <v>36</v>
      </c>
      <c r="J11">
        <v>268.26836252212502</v>
      </c>
      <c r="K11" t="s">
        <v>43</v>
      </c>
      <c r="L11">
        <v>36</v>
      </c>
      <c r="M11">
        <v>86400.137657165498</v>
      </c>
      <c r="P11">
        <v>5.3925514221191398E-3</v>
      </c>
      <c r="Q11" t="s">
        <v>45</v>
      </c>
      <c r="R11">
        <v>35</v>
      </c>
      <c r="S11" t="s">
        <v>46</v>
      </c>
      <c r="T11">
        <v>0.129812333000245</v>
      </c>
      <c r="U11">
        <v>36</v>
      </c>
      <c r="V11">
        <v>0</v>
      </c>
      <c r="W11">
        <v>1</v>
      </c>
      <c r="X11" t="s">
        <v>215</v>
      </c>
      <c r="Y11">
        <v>1.0161245420003899</v>
      </c>
      <c r="Z11">
        <v>36</v>
      </c>
      <c r="AA11">
        <v>0</v>
      </c>
      <c r="AB11">
        <v>1</v>
      </c>
      <c r="AC11" t="s">
        <v>215</v>
      </c>
      <c r="AD11">
        <v>2.1120852509993702</v>
      </c>
      <c r="AE11">
        <v>36</v>
      </c>
      <c r="AF11">
        <v>0</v>
      </c>
      <c r="AG11">
        <v>0</v>
      </c>
      <c r="AH11">
        <v>1</v>
      </c>
    </row>
    <row r="12" spans="1:34" x14ac:dyDescent="0.35">
      <c r="A12">
        <v>11</v>
      </c>
      <c r="B12">
        <v>4</v>
      </c>
      <c r="C12">
        <v>40</v>
      </c>
      <c r="D12">
        <v>236.19271969795199</v>
      </c>
      <c r="E12" t="s">
        <v>47</v>
      </c>
      <c r="F12">
        <v>33</v>
      </c>
      <c r="G12">
        <v>51.336097240447998</v>
      </c>
      <c r="H12" t="s">
        <v>48</v>
      </c>
      <c r="I12">
        <v>33</v>
      </c>
      <c r="J12">
        <v>230.964210748672</v>
      </c>
      <c r="K12" t="s">
        <v>47</v>
      </c>
      <c r="L12">
        <v>33</v>
      </c>
      <c r="M12">
        <v>86400.596881627993</v>
      </c>
      <c r="P12">
        <v>4.2402744293212804E-3</v>
      </c>
      <c r="Q12" t="s">
        <v>47</v>
      </c>
      <c r="R12">
        <v>33</v>
      </c>
      <c r="S12" t="s">
        <v>49</v>
      </c>
      <c r="T12">
        <v>0.109177917000124</v>
      </c>
      <c r="U12">
        <v>33</v>
      </c>
      <c r="V12">
        <v>0</v>
      </c>
      <c r="W12">
        <v>0</v>
      </c>
      <c r="X12" t="s">
        <v>49</v>
      </c>
      <c r="Y12">
        <v>0.46063137500004803</v>
      </c>
      <c r="Z12">
        <v>33</v>
      </c>
      <c r="AA12">
        <v>0</v>
      </c>
      <c r="AB12">
        <v>0</v>
      </c>
      <c r="AC12" t="s">
        <v>49</v>
      </c>
      <c r="AD12">
        <v>1.8838435839998</v>
      </c>
      <c r="AE12">
        <v>33</v>
      </c>
      <c r="AF12">
        <v>0</v>
      </c>
      <c r="AG12">
        <v>0</v>
      </c>
      <c r="AH12">
        <v>0</v>
      </c>
    </row>
    <row r="13" spans="1:34" x14ac:dyDescent="0.35">
      <c r="A13">
        <v>12</v>
      </c>
      <c r="B13">
        <v>4</v>
      </c>
      <c r="C13">
        <v>40</v>
      </c>
      <c r="D13">
        <v>86400.874973535494</v>
      </c>
      <c r="G13">
        <v>70.089067459106403</v>
      </c>
      <c r="H13" t="s">
        <v>50</v>
      </c>
      <c r="I13">
        <v>38</v>
      </c>
      <c r="J13">
        <v>230.956568717956</v>
      </c>
      <c r="K13" t="s">
        <v>51</v>
      </c>
      <c r="L13">
        <v>38</v>
      </c>
      <c r="M13">
        <v>86400.140295505495</v>
      </c>
      <c r="P13">
        <v>5.2533149719238203E-3</v>
      </c>
      <c r="Q13" t="s">
        <v>52</v>
      </c>
      <c r="R13">
        <v>36</v>
      </c>
      <c r="S13" t="s">
        <v>53</v>
      </c>
      <c r="T13">
        <v>0.360892499999863</v>
      </c>
      <c r="U13">
        <v>28</v>
      </c>
      <c r="V13">
        <v>-10</v>
      </c>
      <c r="W13">
        <v>-8</v>
      </c>
      <c r="X13" t="s">
        <v>216</v>
      </c>
      <c r="Y13">
        <v>1.00651333400037</v>
      </c>
      <c r="Z13">
        <v>37</v>
      </c>
      <c r="AA13">
        <v>-1</v>
      </c>
      <c r="AB13">
        <v>1</v>
      </c>
      <c r="AC13" t="s">
        <v>241</v>
      </c>
      <c r="AD13">
        <v>3.8565233350000199</v>
      </c>
      <c r="AE13">
        <v>38</v>
      </c>
      <c r="AF13">
        <v>0</v>
      </c>
      <c r="AG13">
        <v>0</v>
      </c>
      <c r="AH13">
        <v>2</v>
      </c>
    </row>
    <row r="14" spans="1:34" x14ac:dyDescent="0.35">
      <c r="A14">
        <v>13</v>
      </c>
      <c r="B14">
        <v>4</v>
      </c>
      <c r="C14">
        <v>40</v>
      </c>
      <c r="D14">
        <v>58.451675891876199</v>
      </c>
      <c r="E14" t="s">
        <v>54</v>
      </c>
      <c r="F14">
        <v>32</v>
      </c>
      <c r="G14">
        <v>22.211640119552602</v>
      </c>
      <c r="H14" t="s">
        <v>55</v>
      </c>
      <c r="I14">
        <v>31.999999999999901</v>
      </c>
      <c r="J14">
        <v>173.92218637466399</v>
      </c>
      <c r="K14" t="s">
        <v>56</v>
      </c>
      <c r="L14">
        <v>32</v>
      </c>
      <c r="M14">
        <v>86400.126599073395</v>
      </c>
      <c r="P14">
        <v>4.5175552368164002E-3</v>
      </c>
      <c r="Q14" t="s">
        <v>57</v>
      </c>
      <c r="R14">
        <v>31</v>
      </c>
      <c r="S14" t="s">
        <v>58</v>
      </c>
      <c r="T14">
        <v>0.16163216699987901</v>
      </c>
      <c r="U14">
        <v>31</v>
      </c>
      <c r="V14">
        <v>-0.999999999999996</v>
      </c>
      <c r="W14">
        <v>0</v>
      </c>
      <c r="X14" t="s">
        <v>217</v>
      </c>
      <c r="Y14">
        <v>0.70187862500006304</v>
      </c>
      <c r="Z14">
        <v>32</v>
      </c>
      <c r="AA14" s="1">
        <v>3.5527136788005001E-15</v>
      </c>
      <c r="AB14">
        <v>1</v>
      </c>
      <c r="AC14" t="s">
        <v>217</v>
      </c>
      <c r="AD14">
        <v>1.63539791699986</v>
      </c>
      <c r="AE14">
        <v>32</v>
      </c>
      <c r="AF14" s="1">
        <v>3.5527136788005001E-15</v>
      </c>
      <c r="AG14">
        <v>0</v>
      </c>
      <c r="AH14">
        <v>1</v>
      </c>
    </row>
    <row r="15" spans="1:34" x14ac:dyDescent="0.35">
      <c r="A15">
        <v>14</v>
      </c>
      <c r="B15">
        <v>4</v>
      </c>
      <c r="C15">
        <v>40</v>
      </c>
      <c r="D15">
        <v>850.74028325080803</v>
      </c>
      <c r="E15" t="s">
        <v>59</v>
      </c>
      <c r="F15">
        <v>35</v>
      </c>
      <c r="G15">
        <v>88.225219011306706</v>
      </c>
      <c r="H15" t="s">
        <v>60</v>
      </c>
      <c r="I15">
        <v>35</v>
      </c>
      <c r="J15">
        <v>341.805687904357</v>
      </c>
      <c r="K15" t="s">
        <v>61</v>
      </c>
      <c r="L15">
        <v>35</v>
      </c>
      <c r="M15">
        <v>86400.125456094698</v>
      </c>
      <c r="P15">
        <v>5.1207542419433498E-3</v>
      </c>
      <c r="Q15" t="s">
        <v>62</v>
      </c>
      <c r="R15">
        <v>34</v>
      </c>
      <c r="S15" t="s">
        <v>63</v>
      </c>
      <c r="T15">
        <v>0.13082475000010099</v>
      </c>
      <c r="U15">
        <v>35</v>
      </c>
      <c r="V15">
        <v>0</v>
      </c>
      <c r="W15">
        <v>1</v>
      </c>
      <c r="X15" t="s">
        <v>218</v>
      </c>
      <c r="Y15">
        <v>0.81035420900025201</v>
      </c>
      <c r="Z15">
        <v>35</v>
      </c>
      <c r="AA15">
        <v>0</v>
      </c>
      <c r="AB15">
        <v>1</v>
      </c>
      <c r="AC15" t="s">
        <v>242</v>
      </c>
      <c r="AD15">
        <v>3.97558945999935</v>
      </c>
      <c r="AE15">
        <v>35</v>
      </c>
      <c r="AF15">
        <v>0</v>
      </c>
      <c r="AG15">
        <v>0</v>
      </c>
      <c r="AH15">
        <v>1</v>
      </c>
    </row>
    <row r="16" spans="1:34" x14ac:dyDescent="0.35">
      <c r="A16">
        <v>15</v>
      </c>
      <c r="B16">
        <v>4</v>
      </c>
      <c r="C16">
        <v>40</v>
      </c>
      <c r="D16">
        <v>847.00700283050503</v>
      </c>
      <c r="E16" t="s">
        <v>64</v>
      </c>
      <c r="F16">
        <v>38</v>
      </c>
      <c r="G16">
        <v>58.091557264328003</v>
      </c>
      <c r="H16" t="s">
        <v>64</v>
      </c>
      <c r="I16">
        <v>38</v>
      </c>
      <c r="J16">
        <v>197.25004124641401</v>
      </c>
      <c r="K16" t="s">
        <v>64</v>
      </c>
      <c r="L16">
        <v>38</v>
      </c>
      <c r="M16">
        <v>86400.126175403595</v>
      </c>
      <c r="P16">
        <v>5.2807331085205E-3</v>
      </c>
      <c r="Q16" t="s">
        <v>65</v>
      </c>
      <c r="R16">
        <v>37</v>
      </c>
      <c r="S16" t="s">
        <v>66</v>
      </c>
      <c r="T16">
        <v>0.22201533399993401</v>
      </c>
      <c r="U16">
        <v>33</v>
      </c>
      <c r="V16">
        <v>-5</v>
      </c>
      <c r="W16">
        <v>-4</v>
      </c>
      <c r="X16" t="s">
        <v>219</v>
      </c>
      <c r="Y16">
        <v>1.1471546250004301</v>
      </c>
      <c r="Z16">
        <v>38</v>
      </c>
      <c r="AA16">
        <v>0</v>
      </c>
      <c r="AB16">
        <v>1</v>
      </c>
      <c r="AC16" t="s">
        <v>219</v>
      </c>
      <c r="AD16">
        <v>3.39485687699925</v>
      </c>
      <c r="AE16">
        <v>38</v>
      </c>
      <c r="AF16">
        <v>0</v>
      </c>
      <c r="AG16">
        <v>0</v>
      </c>
      <c r="AH16">
        <v>1</v>
      </c>
    </row>
    <row r="17" spans="1:34" x14ac:dyDescent="0.35">
      <c r="A17">
        <v>16</v>
      </c>
      <c r="B17">
        <v>4</v>
      </c>
      <c r="C17">
        <v>40</v>
      </c>
      <c r="D17">
        <v>1160.6931722164099</v>
      </c>
      <c r="E17" t="s">
        <v>67</v>
      </c>
      <c r="F17">
        <v>36</v>
      </c>
      <c r="G17">
        <v>60.158497571945098</v>
      </c>
      <c r="H17" t="s">
        <v>68</v>
      </c>
      <c r="I17">
        <v>36</v>
      </c>
      <c r="J17">
        <v>220.47335624694799</v>
      </c>
      <c r="K17" t="s">
        <v>68</v>
      </c>
      <c r="L17">
        <v>36</v>
      </c>
      <c r="M17">
        <v>86400.164609908999</v>
      </c>
      <c r="P17">
        <v>5.1751136779785104E-3</v>
      </c>
      <c r="Q17" t="s">
        <v>68</v>
      </c>
      <c r="R17">
        <v>36</v>
      </c>
      <c r="S17" t="s">
        <v>69</v>
      </c>
      <c r="T17">
        <v>0.101051209000161</v>
      </c>
      <c r="U17">
        <v>36</v>
      </c>
      <c r="V17">
        <v>0</v>
      </c>
      <c r="W17">
        <v>0</v>
      </c>
      <c r="X17" t="s">
        <v>69</v>
      </c>
      <c r="Y17">
        <v>0.438611583000238</v>
      </c>
      <c r="Z17">
        <v>36</v>
      </c>
      <c r="AA17">
        <v>0</v>
      </c>
      <c r="AB17">
        <v>0</v>
      </c>
      <c r="AC17" t="s">
        <v>69</v>
      </c>
      <c r="AD17">
        <v>1.18862187499962</v>
      </c>
      <c r="AE17">
        <v>36</v>
      </c>
      <c r="AF17">
        <v>0</v>
      </c>
      <c r="AG17">
        <v>0</v>
      </c>
      <c r="AH17">
        <v>0</v>
      </c>
    </row>
    <row r="18" spans="1:34" x14ac:dyDescent="0.35">
      <c r="A18">
        <v>17</v>
      </c>
      <c r="B18">
        <v>4</v>
      </c>
      <c r="C18">
        <v>40</v>
      </c>
      <c r="D18">
        <v>86400.324173450397</v>
      </c>
      <c r="G18">
        <v>76.000017881393404</v>
      </c>
      <c r="H18" t="s">
        <v>70</v>
      </c>
      <c r="I18">
        <v>39</v>
      </c>
      <c r="J18">
        <v>132.477592945098</v>
      </c>
      <c r="K18" t="s">
        <v>71</v>
      </c>
      <c r="L18">
        <v>39</v>
      </c>
      <c r="M18">
        <v>47.098084926605203</v>
      </c>
      <c r="N18" t="s">
        <v>72</v>
      </c>
      <c r="O18">
        <v>39</v>
      </c>
      <c r="P18">
        <v>6.5302848815917899E-3</v>
      </c>
      <c r="Q18" t="s">
        <v>73</v>
      </c>
      <c r="R18">
        <v>39</v>
      </c>
      <c r="S18" t="s">
        <v>74</v>
      </c>
      <c r="T18">
        <v>0.147897666999597</v>
      </c>
      <c r="U18">
        <v>39</v>
      </c>
      <c r="V18">
        <v>0</v>
      </c>
      <c r="W18">
        <v>0</v>
      </c>
      <c r="X18" t="s">
        <v>74</v>
      </c>
      <c r="Y18">
        <v>0.63420491699980597</v>
      </c>
      <c r="Z18">
        <v>39</v>
      </c>
      <c r="AA18">
        <v>0</v>
      </c>
      <c r="AB18">
        <v>0</v>
      </c>
      <c r="AC18" t="s">
        <v>74</v>
      </c>
      <c r="AD18">
        <v>3.9922276269999202</v>
      </c>
      <c r="AE18">
        <v>39</v>
      </c>
      <c r="AF18">
        <v>0</v>
      </c>
      <c r="AG18">
        <v>0</v>
      </c>
      <c r="AH18">
        <v>0</v>
      </c>
    </row>
    <row r="19" spans="1:34" x14ac:dyDescent="0.35">
      <c r="A19">
        <v>18</v>
      </c>
      <c r="B19">
        <v>4</v>
      </c>
      <c r="C19">
        <v>40</v>
      </c>
      <c r="D19">
        <v>78285.793434858293</v>
      </c>
      <c r="E19" t="s">
        <v>75</v>
      </c>
      <c r="F19">
        <v>37</v>
      </c>
      <c r="G19">
        <v>77.328538656234699</v>
      </c>
      <c r="H19" t="s">
        <v>76</v>
      </c>
      <c r="I19">
        <v>37</v>
      </c>
      <c r="J19">
        <v>224.450894832611</v>
      </c>
      <c r="K19" t="s">
        <v>76</v>
      </c>
      <c r="L19">
        <v>37</v>
      </c>
      <c r="M19">
        <v>86400.140725135803</v>
      </c>
      <c r="P19">
        <v>5.2385330200195304E-3</v>
      </c>
      <c r="Q19" t="s">
        <v>77</v>
      </c>
      <c r="R19">
        <v>36</v>
      </c>
      <c r="S19" t="s">
        <v>78</v>
      </c>
      <c r="T19">
        <v>0.32934462499997602</v>
      </c>
      <c r="U19">
        <v>26</v>
      </c>
      <c r="V19">
        <v>-11</v>
      </c>
      <c r="W19">
        <v>-10</v>
      </c>
      <c r="X19" t="s">
        <v>220</v>
      </c>
      <c r="Y19">
        <v>1.09348520799994</v>
      </c>
      <c r="Z19">
        <v>37</v>
      </c>
      <c r="AA19">
        <v>0</v>
      </c>
      <c r="AB19">
        <v>1</v>
      </c>
      <c r="AC19" t="s">
        <v>220</v>
      </c>
      <c r="AD19">
        <v>3.1117815429997702</v>
      </c>
      <c r="AE19">
        <v>37</v>
      </c>
      <c r="AF19">
        <v>0</v>
      </c>
      <c r="AG19">
        <v>0</v>
      </c>
      <c r="AH19">
        <v>1</v>
      </c>
    </row>
    <row r="20" spans="1:34" x14ac:dyDescent="0.35">
      <c r="A20">
        <v>19</v>
      </c>
      <c r="B20">
        <v>4</v>
      </c>
      <c r="C20">
        <v>40</v>
      </c>
      <c r="D20">
        <v>6526.2341415882102</v>
      </c>
      <c r="E20" t="s">
        <v>79</v>
      </c>
      <c r="F20">
        <v>35</v>
      </c>
      <c r="G20">
        <v>64.794146537780705</v>
      </c>
      <c r="H20" t="s">
        <v>80</v>
      </c>
      <c r="I20">
        <v>35</v>
      </c>
      <c r="J20">
        <v>234.16041851043701</v>
      </c>
      <c r="K20" t="s">
        <v>79</v>
      </c>
      <c r="L20">
        <v>35</v>
      </c>
      <c r="M20">
        <v>86400.141325473698</v>
      </c>
      <c r="P20">
        <v>4.3635368347167899E-3</v>
      </c>
      <c r="Q20" t="s">
        <v>81</v>
      </c>
      <c r="R20">
        <v>34</v>
      </c>
      <c r="S20" t="s">
        <v>82</v>
      </c>
      <c r="T20">
        <v>0.195492166999883</v>
      </c>
      <c r="U20">
        <v>35</v>
      </c>
      <c r="V20" s="1">
        <v>-7.1054273576010003E-15</v>
      </c>
      <c r="W20">
        <v>1</v>
      </c>
      <c r="X20" t="s">
        <v>82</v>
      </c>
      <c r="Y20">
        <v>1.3690103760000001</v>
      </c>
      <c r="Z20">
        <v>35</v>
      </c>
      <c r="AA20" s="1">
        <v>-7.1054273576010003E-15</v>
      </c>
      <c r="AB20">
        <v>1</v>
      </c>
      <c r="AC20" t="s">
        <v>82</v>
      </c>
      <c r="AD20">
        <v>5.68862400299985</v>
      </c>
      <c r="AE20">
        <v>35</v>
      </c>
      <c r="AF20" s="1">
        <v>-7.1054273576010003E-15</v>
      </c>
      <c r="AG20">
        <v>0</v>
      </c>
      <c r="AH20">
        <v>1</v>
      </c>
    </row>
    <row r="21" spans="1:34" x14ac:dyDescent="0.35">
      <c r="A21">
        <v>20</v>
      </c>
      <c r="B21">
        <v>4</v>
      </c>
      <c r="C21">
        <v>40</v>
      </c>
      <c r="D21">
        <v>759.06535601615894</v>
      </c>
      <c r="E21" t="s">
        <v>83</v>
      </c>
      <c r="F21">
        <v>29</v>
      </c>
      <c r="G21">
        <v>912.31764340400696</v>
      </c>
      <c r="H21" t="s">
        <v>84</v>
      </c>
      <c r="I21">
        <v>29</v>
      </c>
      <c r="J21">
        <v>540.48723745346001</v>
      </c>
      <c r="K21" t="s">
        <v>85</v>
      </c>
      <c r="L21">
        <v>29</v>
      </c>
      <c r="M21">
        <v>86400.132619380907</v>
      </c>
      <c r="P21">
        <v>4.8832893371581997E-3</v>
      </c>
      <c r="Q21" t="s">
        <v>86</v>
      </c>
      <c r="R21">
        <v>28</v>
      </c>
      <c r="S21" t="s">
        <v>87</v>
      </c>
      <c r="T21">
        <v>0.10059033400011599</v>
      </c>
      <c r="U21">
        <v>28</v>
      </c>
      <c r="V21">
        <v>-1</v>
      </c>
      <c r="W21">
        <v>0</v>
      </c>
      <c r="X21" t="s">
        <v>87</v>
      </c>
      <c r="Y21">
        <v>0.36835916700056198</v>
      </c>
      <c r="Z21">
        <v>28</v>
      </c>
      <c r="AA21">
        <v>-1</v>
      </c>
      <c r="AB21">
        <v>0</v>
      </c>
      <c r="AC21" t="s">
        <v>87</v>
      </c>
      <c r="AD21">
        <v>0.92678079200049901</v>
      </c>
      <c r="AE21">
        <v>28</v>
      </c>
      <c r="AF21">
        <v>-1</v>
      </c>
      <c r="AG21">
        <v>-1</v>
      </c>
      <c r="AH21">
        <v>0</v>
      </c>
    </row>
    <row r="22" spans="1:34" x14ac:dyDescent="0.35">
      <c r="A22">
        <v>21</v>
      </c>
      <c r="B22">
        <v>5</v>
      </c>
      <c r="C22">
        <v>40</v>
      </c>
      <c r="D22">
        <v>210.87740945816</v>
      </c>
      <c r="E22" t="s">
        <v>88</v>
      </c>
      <c r="F22">
        <v>31</v>
      </c>
      <c r="G22">
        <v>162.65208864211999</v>
      </c>
      <c r="H22" t="s">
        <v>88</v>
      </c>
      <c r="I22">
        <v>31</v>
      </c>
      <c r="J22">
        <v>318.648909568786</v>
      </c>
      <c r="K22" t="s">
        <v>89</v>
      </c>
      <c r="L22">
        <v>31</v>
      </c>
      <c r="M22">
        <v>86400.133867740602</v>
      </c>
      <c r="P22">
        <v>4.4388771057128898E-3</v>
      </c>
      <c r="Q22" t="s">
        <v>90</v>
      </c>
      <c r="R22">
        <v>29</v>
      </c>
      <c r="S22" t="s">
        <v>91</v>
      </c>
      <c r="T22">
        <v>0.109529583000039</v>
      </c>
      <c r="U22">
        <v>31</v>
      </c>
      <c r="V22">
        <v>0</v>
      </c>
      <c r="W22">
        <v>2</v>
      </c>
      <c r="X22" t="s">
        <v>91</v>
      </c>
      <c r="Y22">
        <v>0.33714795800005898</v>
      </c>
      <c r="Z22">
        <v>31</v>
      </c>
      <c r="AA22">
        <v>0</v>
      </c>
      <c r="AB22">
        <v>2</v>
      </c>
      <c r="AC22" t="s">
        <v>91</v>
      </c>
      <c r="AD22">
        <v>0.97163041700059605</v>
      </c>
      <c r="AE22">
        <v>31</v>
      </c>
      <c r="AF22">
        <v>0</v>
      </c>
      <c r="AG22">
        <v>0</v>
      </c>
      <c r="AH22">
        <v>2</v>
      </c>
    </row>
    <row r="23" spans="1:34" x14ac:dyDescent="0.35">
      <c r="A23">
        <v>22</v>
      </c>
      <c r="B23">
        <v>5</v>
      </c>
      <c r="C23">
        <v>40</v>
      </c>
      <c r="D23">
        <v>7105.1666977405503</v>
      </c>
      <c r="E23" t="s">
        <v>92</v>
      </c>
      <c r="F23">
        <v>38</v>
      </c>
      <c r="G23">
        <v>57.698698759078901</v>
      </c>
      <c r="H23" t="s">
        <v>93</v>
      </c>
      <c r="I23">
        <v>38</v>
      </c>
      <c r="J23">
        <v>251.577482938766</v>
      </c>
      <c r="K23" t="s">
        <v>94</v>
      </c>
      <c r="L23">
        <v>38</v>
      </c>
      <c r="M23">
        <v>86400.135037422093</v>
      </c>
      <c r="P23">
        <v>5.1634311676025304E-3</v>
      </c>
      <c r="Q23" t="s">
        <v>95</v>
      </c>
      <c r="R23">
        <v>36</v>
      </c>
      <c r="S23" t="s">
        <v>96</v>
      </c>
      <c r="T23">
        <v>0.14005504099986801</v>
      </c>
      <c r="U23">
        <v>37</v>
      </c>
      <c r="V23">
        <v>-1</v>
      </c>
      <c r="W23">
        <v>1</v>
      </c>
      <c r="X23" t="s">
        <v>96</v>
      </c>
      <c r="Y23">
        <v>1.0972684180005601</v>
      </c>
      <c r="Z23">
        <v>37</v>
      </c>
      <c r="AA23">
        <v>-1</v>
      </c>
      <c r="AB23">
        <v>1</v>
      </c>
      <c r="AC23" t="s">
        <v>243</v>
      </c>
      <c r="AD23">
        <v>7.6424404210001704</v>
      </c>
      <c r="AE23">
        <v>38</v>
      </c>
      <c r="AF23">
        <v>0</v>
      </c>
      <c r="AG23">
        <v>0</v>
      </c>
      <c r="AH23">
        <v>2</v>
      </c>
    </row>
    <row r="24" spans="1:34" x14ac:dyDescent="0.35">
      <c r="A24">
        <v>23</v>
      </c>
      <c r="B24">
        <v>5</v>
      </c>
      <c r="C24">
        <v>40</v>
      </c>
      <c r="D24">
        <v>729.35242557525601</v>
      </c>
      <c r="E24" t="s">
        <v>97</v>
      </c>
      <c r="F24">
        <v>38</v>
      </c>
      <c r="G24">
        <v>58.242346525192197</v>
      </c>
      <c r="H24" t="s">
        <v>98</v>
      </c>
      <c r="I24">
        <v>38</v>
      </c>
      <c r="J24">
        <v>291.66989302635102</v>
      </c>
      <c r="K24" t="s">
        <v>99</v>
      </c>
      <c r="L24">
        <v>38</v>
      </c>
      <c r="M24">
        <v>86400.160304784702</v>
      </c>
      <c r="P24">
        <v>5.1820278167724601E-3</v>
      </c>
      <c r="Q24" t="s">
        <v>100</v>
      </c>
      <c r="R24">
        <v>35</v>
      </c>
      <c r="S24" t="s">
        <v>101</v>
      </c>
      <c r="T24">
        <v>0.39884087499967702</v>
      </c>
      <c r="U24">
        <v>38</v>
      </c>
      <c r="V24">
        <v>0</v>
      </c>
      <c r="W24">
        <v>3</v>
      </c>
      <c r="X24" t="s">
        <v>221</v>
      </c>
      <c r="Y24">
        <v>1.5459725010005001</v>
      </c>
      <c r="Z24">
        <v>36</v>
      </c>
      <c r="AA24">
        <v>-2</v>
      </c>
      <c r="AB24">
        <v>1</v>
      </c>
      <c r="AC24" t="s">
        <v>101</v>
      </c>
      <c r="AD24">
        <v>9.5797322550006303</v>
      </c>
      <c r="AE24">
        <v>38</v>
      </c>
      <c r="AF24">
        <v>0</v>
      </c>
      <c r="AG24">
        <v>0</v>
      </c>
      <c r="AH24">
        <v>3</v>
      </c>
    </row>
    <row r="25" spans="1:34" x14ac:dyDescent="0.35">
      <c r="A25">
        <v>24</v>
      </c>
      <c r="B25">
        <v>5</v>
      </c>
      <c r="C25">
        <v>40</v>
      </c>
      <c r="D25">
        <v>158.90096259117101</v>
      </c>
      <c r="E25" t="s">
        <v>102</v>
      </c>
      <c r="F25">
        <v>34</v>
      </c>
      <c r="G25">
        <v>91.672548770904498</v>
      </c>
      <c r="H25" t="s">
        <v>103</v>
      </c>
      <c r="I25">
        <v>34</v>
      </c>
      <c r="J25">
        <v>319.44056868553099</v>
      </c>
      <c r="K25" t="s">
        <v>104</v>
      </c>
      <c r="L25">
        <v>34</v>
      </c>
      <c r="M25">
        <v>86400.131307125004</v>
      </c>
      <c r="P25">
        <v>5.7320594787597604E-3</v>
      </c>
      <c r="Q25" t="s">
        <v>105</v>
      </c>
      <c r="R25">
        <v>31</v>
      </c>
      <c r="S25" t="s">
        <v>106</v>
      </c>
      <c r="T25">
        <v>0.13351787500005199</v>
      </c>
      <c r="U25">
        <v>24</v>
      </c>
      <c r="V25">
        <v>-10</v>
      </c>
      <c r="W25">
        <v>-7</v>
      </c>
      <c r="X25" t="s">
        <v>222</v>
      </c>
      <c r="Y25">
        <v>0.85035683399928497</v>
      </c>
      <c r="Z25">
        <v>34</v>
      </c>
      <c r="AA25">
        <v>0</v>
      </c>
      <c r="AB25">
        <v>3</v>
      </c>
      <c r="AC25" t="s">
        <v>222</v>
      </c>
      <c r="AD25">
        <v>1.73933054200006</v>
      </c>
      <c r="AE25">
        <v>34</v>
      </c>
      <c r="AF25">
        <v>0</v>
      </c>
      <c r="AG25">
        <v>0</v>
      </c>
      <c r="AH25">
        <v>3</v>
      </c>
    </row>
    <row r="26" spans="1:34" x14ac:dyDescent="0.35">
      <c r="A26">
        <v>25</v>
      </c>
      <c r="B26">
        <v>5</v>
      </c>
      <c r="C26">
        <v>40</v>
      </c>
      <c r="D26">
        <v>2010.4343097209901</v>
      </c>
      <c r="E26" t="s">
        <v>107</v>
      </c>
      <c r="F26">
        <v>34</v>
      </c>
      <c r="G26">
        <v>65.932975530624304</v>
      </c>
      <c r="H26" t="s">
        <v>107</v>
      </c>
      <c r="I26">
        <v>34</v>
      </c>
      <c r="J26">
        <v>297.85724782943697</v>
      </c>
      <c r="K26" t="s">
        <v>107</v>
      </c>
      <c r="L26">
        <v>34</v>
      </c>
      <c r="M26">
        <v>34203.160275936098</v>
      </c>
      <c r="N26" t="s">
        <v>107</v>
      </c>
      <c r="O26">
        <v>34</v>
      </c>
      <c r="P26">
        <v>4.5621395111083898E-3</v>
      </c>
      <c r="Q26" t="s">
        <v>107</v>
      </c>
      <c r="R26">
        <v>34</v>
      </c>
      <c r="S26" t="s">
        <v>108</v>
      </c>
      <c r="T26">
        <v>7.3529333999886107E-2</v>
      </c>
      <c r="U26">
        <v>34</v>
      </c>
      <c r="V26">
        <v>0</v>
      </c>
      <c r="W26">
        <v>0</v>
      </c>
      <c r="X26" t="s">
        <v>108</v>
      </c>
      <c r="Y26">
        <v>0.52385645800040903</v>
      </c>
      <c r="Z26">
        <v>34</v>
      </c>
      <c r="AA26">
        <v>0</v>
      </c>
      <c r="AB26">
        <v>0</v>
      </c>
      <c r="AC26" t="s">
        <v>108</v>
      </c>
      <c r="AD26">
        <v>1.1891566680005701</v>
      </c>
      <c r="AE26">
        <v>34</v>
      </c>
      <c r="AF26">
        <v>0</v>
      </c>
      <c r="AG26">
        <v>0</v>
      </c>
      <c r="AH26">
        <v>0</v>
      </c>
    </row>
    <row r="27" spans="1:34" x14ac:dyDescent="0.35">
      <c r="A27">
        <v>26</v>
      </c>
      <c r="B27">
        <v>5</v>
      </c>
      <c r="C27">
        <v>40</v>
      </c>
      <c r="D27">
        <v>2330.9193391799899</v>
      </c>
      <c r="E27" t="s">
        <v>109</v>
      </c>
      <c r="F27">
        <v>38</v>
      </c>
      <c r="G27">
        <v>58.3836863040924</v>
      </c>
      <c r="H27" t="s">
        <v>110</v>
      </c>
      <c r="I27">
        <v>38</v>
      </c>
      <c r="J27">
        <v>181.586270332336</v>
      </c>
      <c r="K27" t="s">
        <v>109</v>
      </c>
      <c r="L27">
        <v>38</v>
      </c>
      <c r="M27">
        <v>86400.129125595093</v>
      </c>
      <c r="P27">
        <v>6.0391426086425703E-3</v>
      </c>
      <c r="Q27" t="s">
        <v>111</v>
      </c>
      <c r="R27">
        <v>34</v>
      </c>
      <c r="S27" t="s">
        <v>112</v>
      </c>
      <c r="T27">
        <v>0.162366374999692</v>
      </c>
      <c r="U27">
        <v>37</v>
      </c>
      <c r="V27">
        <v>-1</v>
      </c>
      <c r="W27">
        <v>3</v>
      </c>
      <c r="X27" t="s">
        <v>223</v>
      </c>
      <c r="Y27">
        <v>1.19237250100013</v>
      </c>
      <c r="Z27">
        <v>37</v>
      </c>
      <c r="AA27">
        <v>-1</v>
      </c>
      <c r="AB27">
        <v>3</v>
      </c>
      <c r="AC27" t="s">
        <v>244</v>
      </c>
      <c r="AD27">
        <v>5.5275429610001003</v>
      </c>
      <c r="AE27">
        <v>38</v>
      </c>
      <c r="AF27">
        <v>0</v>
      </c>
      <c r="AG27">
        <v>0</v>
      </c>
      <c r="AH27">
        <v>4</v>
      </c>
    </row>
    <row r="28" spans="1:34" x14ac:dyDescent="0.35">
      <c r="A28">
        <v>27</v>
      </c>
      <c r="B28">
        <v>5</v>
      </c>
      <c r="C28">
        <v>40</v>
      </c>
      <c r="D28">
        <v>1175.05269384384</v>
      </c>
      <c r="E28" t="s">
        <v>113</v>
      </c>
      <c r="F28">
        <v>36</v>
      </c>
      <c r="G28">
        <v>141.49965786933899</v>
      </c>
      <c r="H28" t="s">
        <v>114</v>
      </c>
      <c r="I28">
        <v>36</v>
      </c>
      <c r="J28">
        <v>477.19279837608298</v>
      </c>
      <c r="K28" t="s">
        <v>115</v>
      </c>
      <c r="L28">
        <v>36</v>
      </c>
      <c r="M28">
        <v>86400.130617856907</v>
      </c>
      <c r="P28">
        <v>5.4810047149658203E-3</v>
      </c>
      <c r="Q28" t="s">
        <v>116</v>
      </c>
      <c r="R28">
        <v>33</v>
      </c>
      <c r="S28" t="s">
        <v>117</v>
      </c>
      <c r="T28">
        <v>0.10916200000019601</v>
      </c>
      <c r="U28">
        <v>35</v>
      </c>
      <c r="V28">
        <v>-1</v>
      </c>
      <c r="W28">
        <v>2</v>
      </c>
      <c r="X28" t="s">
        <v>117</v>
      </c>
      <c r="Y28">
        <v>0.79457316700063496</v>
      </c>
      <c r="Z28">
        <v>35</v>
      </c>
      <c r="AA28">
        <v>-1</v>
      </c>
      <c r="AB28">
        <v>2</v>
      </c>
      <c r="AC28" t="s">
        <v>117</v>
      </c>
      <c r="AD28">
        <v>3.4563811259995401</v>
      </c>
      <c r="AE28">
        <v>35</v>
      </c>
      <c r="AF28">
        <v>-1</v>
      </c>
      <c r="AG28">
        <v>-1</v>
      </c>
      <c r="AH28">
        <v>2</v>
      </c>
    </row>
    <row r="29" spans="1:34" x14ac:dyDescent="0.35">
      <c r="A29">
        <v>28</v>
      </c>
      <c r="B29">
        <v>5</v>
      </c>
      <c r="C29">
        <v>40</v>
      </c>
      <c r="D29">
        <v>147.89943647384601</v>
      </c>
      <c r="E29" t="s">
        <v>118</v>
      </c>
      <c r="F29">
        <v>33</v>
      </c>
      <c r="G29">
        <v>59.577576637268002</v>
      </c>
      <c r="H29" t="s">
        <v>118</v>
      </c>
      <c r="I29">
        <v>33</v>
      </c>
      <c r="J29">
        <v>278.319145917892</v>
      </c>
      <c r="K29" t="s">
        <v>118</v>
      </c>
      <c r="L29">
        <v>33</v>
      </c>
      <c r="M29">
        <v>86400.134596109303</v>
      </c>
      <c r="P29">
        <v>4.8899650573730399E-3</v>
      </c>
      <c r="Q29" t="s">
        <v>119</v>
      </c>
      <c r="R29">
        <v>31</v>
      </c>
      <c r="S29" t="s">
        <v>120</v>
      </c>
      <c r="T29">
        <v>0.12346158399986901</v>
      </c>
      <c r="U29">
        <v>33</v>
      </c>
      <c r="V29">
        <v>0</v>
      </c>
      <c r="W29">
        <v>2</v>
      </c>
      <c r="X29" t="s">
        <v>120</v>
      </c>
      <c r="Y29">
        <v>0.52061320800021305</v>
      </c>
      <c r="Z29">
        <v>33</v>
      </c>
      <c r="AA29">
        <v>0</v>
      </c>
      <c r="AB29">
        <v>2</v>
      </c>
      <c r="AC29" t="s">
        <v>120</v>
      </c>
      <c r="AD29">
        <v>1.1719093760002499</v>
      </c>
      <c r="AE29">
        <v>33</v>
      </c>
      <c r="AF29">
        <v>0</v>
      </c>
      <c r="AG29">
        <v>0</v>
      </c>
      <c r="AH29">
        <v>2</v>
      </c>
    </row>
    <row r="30" spans="1:34" x14ac:dyDescent="0.35">
      <c r="A30">
        <v>29</v>
      </c>
      <c r="B30">
        <v>5</v>
      </c>
      <c r="C30">
        <v>40</v>
      </c>
      <c r="D30">
        <v>5.8123471736907897</v>
      </c>
      <c r="E30" t="s">
        <v>121</v>
      </c>
      <c r="F30">
        <v>33</v>
      </c>
      <c r="G30">
        <v>87.840272665023804</v>
      </c>
      <c r="H30" t="s">
        <v>122</v>
      </c>
      <c r="I30">
        <v>33</v>
      </c>
      <c r="J30">
        <v>317.97413492202702</v>
      </c>
      <c r="K30" t="s">
        <v>123</v>
      </c>
      <c r="L30">
        <v>33</v>
      </c>
      <c r="M30">
        <v>86400.127450704502</v>
      </c>
      <c r="P30">
        <v>5.0079822540283203E-3</v>
      </c>
      <c r="Q30" t="s">
        <v>124</v>
      </c>
      <c r="R30">
        <v>32</v>
      </c>
      <c r="S30" t="s">
        <v>125</v>
      </c>
      <c r="T30">
        <v>0.123655457999575</v>
      </c>
      <c r="U30">
        <v>32</v>
      </c>
      <c r="V30">
        <v>-1</v>
      </c>
      <c r="W30">
        <v>0</v>
      </c>
      <c r="X30" t="s">
        <v>224</v>
      </c>
      <c r="Y30">
        <v>0.232836958000007</v>
      </c>
      <c r="Z30">
        <v>32</v>
      </c>
      <c r="AA30">
        <v>-1</v>
      </c>
      <c r="AB30">
        <v>0</v>
      </c>
      <c r="AC30" t="s">
        <v>245</v>
      </c>
      <c r="AD30">
        <v>0.96458545899986303</v>
      </c>
      <c r="AE30">
        <v>33</v>
      </c>
      <c r="AF30">
        <v>0</v>
      </c>
      <c r="AG30">
        <v>0</v>
      </c>
      <c r="AH30">
        <v>1</v>
      </c>
    </row>
    <row r="31" spans="1:34" x14ac:dyDescent="0.35">
      <c r="A31">
        <v>30</v>
      </c>
      <c r="B31">
        <v>5</v>
      </c>
      <c r="C31">
        <v>40</v>
      </c>
      <c r="D31">
        <v>805.73928236961297</v>
      </c>
      <c r="E31" t="s">
        <v>126</v>
      </c>
      <c r="F31">
        <v>32</v>
      </c>
      <c r="G31">
        <v>58.891531467437702</v>
      </c>
      <c r="H31" t="s">
        <v>126</v>
      </c>
      <c r="I31">
        <v>32</v>
      </c>
      <c r="J31">
        <v>259.028136491775</v>
      </c>
      <c r="K31" t="s">
        <v>126</v>
      </c>
      <c r="L31">
        <v>32</v>
      </c>
      <c r="M31">
        <v>86400.1880934238</v>
      </c>
      <c r="P31">
        <v>4.7945976257324201E-3</v>
      </c>
      <c r="Q31" t="s">
        <v>126</v>
      </c>
      <c r="R31">
        <v>32</v>
      </c>
      <c r="S31" t="s">
        <v>127</v>
      </c>
      <c r="T31">
        <v>0.169992041000114</v>
      </c>
      <c r="U31">
        <v>32</v>
      </c>
      <c r="V31">
        <v>0</v>
      </c>
      <c r="W31">
        <v>0</v>
      </c>
      <c r="X31" t="s">
        <v>127</v>
      </c>
      <c r="Y31">
        <v>0.700133125999855</v>
      </c>
      <c r="Z31">
        <v>32</v>
      </c>
      <c r="AA31">
        <v>0</v>
      </c>
      <c r="AB31">
        <v>0</v>
      </c>
      <c r="AC31" t="s">
        <v>127</v>
      </c>
      <c r="AD31">
        <v>1.6987882510002199</v>
      </c>
      <c r="AE31">
        <v>32</v>
      </c>
      <c r="AF31">
        <v>0</v>
      </c>
      <c r="AG31">
        <v>0</v>
      </c>
      <c r="AH31">
        <v>0</v>
      </c>
    </row>
    <row r="32" spans="1:34" x14ac:dyDescent="0.35">
      <c r="A32">
        <v>31</v>
      </c>
      <c r="B32">
        <v>6</v>
      </c>
      <c r="C32">
        <v>40</v>
      </c>
      <c r="D32">
        <v>1909.8805825710201</v>
      </c>
      <c r="E32" t="s">
        <v>128</v>
      </c>
      <c r="F32">
        <v>38</v>
      </c>
      <c r="G32">
        <v>52.664197683334301</v>
      </c>
      <c r="H32" t="s">
        <v>129</v>
      </c>
      <c r="I32">
        <v>38</v>
      </c>
      <c r="J32">
        <v>176.476865291595</v>
      </c>
      <c r="K32" t="s">
        <v>130</v>
      </c>
      <c r="L32">
        <v>38</v>
      </c>
      <c r="M32">
        <v>86400.145117759705</v>
      </c>
      <c r="P32">
        <v>6.1647891998290998E-3</v>
      </c>
      <c r="Q32" t="s">
        <v>131</v>
      </c>
      <c r="R32">
        <v>35</v>
      </c>
      <c r="S32" t="s">
        <v>132</v>
      </c>
      <c r="T32">
        <v>0.23984020799980499</v>
      </c>
      <c r="U32">
        <v>38</v>
      </c>
      <c r="V32">
        <v>0</v>
      </c>
      <c r="W32">
        <v>3</v>
      </c>
      <c r="X32" t="s">
        <v>132</v>
      </c>
      <c r="Y32">
        <v>1.54557029199986</v>
      </c>
      <c r="Z32">
        <v>38</v>
      </c>
      <c r="AA32">
        <v>0</v>
      </c>
      <c r="AB32">
        <v>3</v>
      </c>
      <c r="AC32" t="s">
        <v>246</v>
      </c>
      <c r="AD32">
        <v>10.299458254000401</v>
      </c>
      <c r="AE32">
        <v>38</v>
      </c>
      <c r="AF32">
        <v>0</v>
      </c>
      <c r="AG32">
        <v>0</v>
      </c>
      <c r="AH32">
        <v>3</v>
      </c>
    </row>
    <row r="33" spans="1:34" x14ac:dyDescent="0.35">
      <c r="A33">
        <v>32</v>
      </c>
      <c r="B33">
        <v>6</v>
      </c>
      <c r="C33">
        <v>40</v>
      </c>
      <c r="D33">
        <v>907.86760544776905</v>
      </c>
      <c r="E33" t="s">
        <v>133</v>
      </c>
      <c r="F33">
        <v>34</v>
      </c>
      <c r="G33">
        <v>79.067918539047199</v>
      </c>
      <c r="H33" t="s">
        <v>134</v>
      </c>
      <c r="I33">
        <v>34</v>
      </c>
      <c r="J33">
        <v>293.41959142684902</v>
      </c>
      <c r="K33" t="s">
        <v>135</v>
      </c>
      <c r="L33">
        <v>34</v>
      </c>
      <c r="M33">
        <v>86400.082375526399</v>
      </c>
      <c r="P33">
        <v>6.0026645660400304E-3</v>
      </c>
      <c r="Q33" t="s">
        <v>136</v>
      </c>
      <c r="R33">
        <v>33</v>
      </c>
      <c r="S33" t="s">
        <v>137</v>
      </c>
      <c r="T33">
        <v>0.39023537499997402</v>
      </c>
      <c r="U33">
        <v>18</v>
      </c>
      <c r="V33">
        <v>-16</v>
      </c>
      <c r="W33">
        <v>-15</v>
      </c>
      <c r="X33" t="s">
        <v>225</v>
      </c>
      <c r="Y33">
        <v>0.82609883400073103</v>
      </c>
      <c r="Z33">
        <v>34</v>
      </c>
      <c r="AA33">
        <v>0</v>
      </c>
      <c r="AB33">
        <v>1</v>
      </c>
      <c r="AC33" t="s">
        <v>247</v>
      </c>
      <c r="AD33">
        <v>2.0154344180000399</v>
      </c>
      <c r="AE33">
        <v>34</v>
      </c>
      <c r="AF33">
        <v>0</v>
      </c>
      <c r="AG33">
        <v>0</v>
      </c>
      <c r="AH33">
        <v>1</v>
      </c>
    </row>
    <row r="34" spans="1:34" x14ac:dyDescent="0.35">
      <c r="A34">
        <v>33</v>
      </c>
      <c r="B34">
        <v>6</v>
      </c>
      <c r="C34">
        <v>40</v>
      </c>
      <c r="D34">
        <v>3774.74291229248</v>
      </c>
      <c r="E34" t="s">
        <v>138</v>
      </c>
      <c r="F34">
        <v>33</v>
      </c>
      <c r="G34">
        <v>100.92551684379499</v>
      </c>
      <c r="H34" t="s">
        <v>138</v>
      </c>
      <c r="I34">
        <v>33</v>
      </c>
      <c r="J34">
        <v>302.64456987380902</v>
      </c>
      <c r="K34" t="s">
        <v>139</v>
      </c>
      <c r="L34">
        <v>33</v>
      </c>
      <c r="M34">
        <v>86400.140103101701</v>
      </c>
      <c r="P34">
        <v>5.6214332580566398E-3</v>
      </c>
      <c r="Q34" t="s">
        <v>140</v>
      </c>
      <c r="R34">
        <v>32</v>
      </c>
      <c r="S34" t="s">
        <v>141</v>
      </c>
      <c r="T34">
        <v>8.1198459000006495E-2</v>
      </c>
      <c r="U34">
        <v>32</v>
      </c>
      <c r="V34">
        <v>-1</v>
      </c>
      <c r="W34">
        <v>0</v>
      </c>
      <c r="X34" t="s">
        <v>226</v>
      </c>
      <c r="Y34">
        <v>0.54410941700007198</v>
      </c>
      <c r="Z34">
        <v>32</v>
      </c>
      <c r="AA34">
        <v>-1</v>
      </c>
      <c r="AB34">
        <v>0</v>
      </c>
      <c r="AC34" t="s">
        <v>248</v>
      </c>
      <c r="AD34">
        <v>3.3834880430003902</v>
      </c>
      <c r="AE34">
        <v>33</v>
      </c>
      <c r="AF34">
        <v>0</v>
      </c>
      <c r="AG34">
        <v>0</v>
      </c>
      <c r="AH34">
        <v>1</v>
      </c>
    </row>
    <row r="35" spans="1:34" x14ac:dyDescent="0.35">
      <c r="A35">
        <v>34</v>
      </c>
      <c r="B35">
        <v>6</v>
      </c>
      <c r="C35">
        <v>40</v>
      </c>
      <c r="D35">
        <v>1964.59009075164</v>
      </c>
      <c r="E35" t="s">
        <v>142</v>
      </c>
      <c r="F35">
        <v>34</v>
      </c>
      <c r="G35">
        <v>136.314377784729</v>
      </c>
      <c r="H35" t="s">
        <v>143</v>
      </c>
      <c r="I35">
        <v>34</v>
      </c>
      <c r="J35">
        <v>394.49784350395203</v>
      </c>
      <c r="K35" t="s">
        <v>143</v>
      </c>
      <c r="L35">
        <v>34</v>
      </c>
      <c r="M35">
        <v>86400.115904331207</v>
      </c>
      <c r="P35">
        <v>5.6524276733398403E-3</v>
      </c>
      <c r="Q35" t="s">
        <v>144</v>
      </c>
      <c r="R35">
        <v>33</v>
      </c>
      <c r="S35" t="s">
        <v>145</v>
      </c>
      <c r="T35">
        <v>8.3501915999931897E-2</v>
      </c>
      <c r="U35">
        <v>34</v>
      </c>
      <c r="V35">
        <v>0</v>
      </c>
      <c r="W35">
        <v>1</v>
      </c>
      <c r="X35" t="s">
        <v>145</v>
      </c>
      <c r="Y35">
        <v>0.84210574999997301</v>
      </c>
      <c r="Z35">
        <v>34</v>
      </c>
      <c r="AA35">
        <v>0</v>
      </c>
      <c r="AB35">
        <v>1</v>
      </c>
      <c r="AC35" t="s">
        <v>145</v>
      </c>
      <c r="AD35">
        <v>1.81597325100028</v>
      </c>
      <c r="AE35">
        <v>34</v>
      </c>
      <c r="AF35">
        <v>0</v>
      </c>
      <c r="AG35">
        <v>0</v>
      </c>
      <c r="AH35">
        <v>1</v>
      </c>
    </row>
    <row r="36" spans="1:34" x14ac:dyDescent="0.35">
      <c r="A36">
        <v>35</v>
      </c>
      <c r="B36">
        <v>6</v>
      </c>
      <c r="C36">
        <v>40</v>
      </c>
      <c r="D36">
        <v>98.0358052253723</v>
      </c>
      <c r="E36" t="s">
        <v>146</v>
      </c>
      <c r="F36">
        <v>26</v>
      </c>
      <c r="G36">
        <v>1499.5055146217301</v>
      </c>
      <c r="H36" t="s">
        <v>147</v>
      </c>
      <c r="I36">
        <v>26</v>
      </c>
      <c r="J36">
        <v>453.13620591163601</v>
      </c>
      <c r="K36" t="s">
        <v>147</v>
      </c>
      <c r="L36">
        <v>26</v>
      </c>
      <c r="M36">
        <v>86400.137974739002</v>
      </c>
      <c r="P36">
        <v>5.1372051239013602E-3</v>
      </c>
      <c r="Q36" t="s">
        <v>148</v>
      </c>
      <c r="R36">
        <v>24</v>
      </c>
      <c r="S36" t="s">
        <v>149</v>
      </c>
      <c r="T36">
        <v>0.117617542000061</v>
      </c>
      <c r="U36">
        <v>24</v>
      </c>
      <c r="V36">
        <v>-2</v>
      </c>
      <c r="W36">
        <v>0</v>
      </c>
      <c r="X36" t="s">
        <v>227</v>
      </c>
      <c r="Y36">
        <v>0.38466891700045303</v>
      </c>
      <c r="Z36">
        <v>25</v>
      </c>
      <c r="AA36">
        <v>-1</v>
      </c>
      <c r="AB36">
        <v>1</v>
      </c>
      <c r="AC36" t="s">
        <v>249</v>
      </c>
      <c r="AD36">
        <v>0.81504812500043</v>
      </c>
      <c r="AE36">
        <v>25</v>
      </c>
      <c r="AF36">
        <v>-1</v>
      </c>
      <c r="AG36">
        <v>-1</v>
      </c>
      <c r="AH36">
        <v>1</v>
      </c>
    </row>
    <row r="37" spans="1:34" x14ac:dyDescent="0.35">
      <c r="A37">
        <v>36</v>
      </c>
      <c r="B37">
        <v>6</v>
      </c>
      <c r="C37">
        <v>40</v>
      </c>
      <c r="D37">
        <v>340.20367479324301</v>
      </c>
      <c r="E37" t="s">
        <v>150</v>
      </c>
      <c r="F37">
        <v>31</v>
      </c>
      <c r="G37">
        <v>59.518777132034302</v>
      </c>
      <c r="H37" t="s">
        <v>150</v>
      </c>
      <c r="I37">
        <v>31</v>
      </c>
      <c r="J37">
        <v>248.66281890869101</v>
      </c>
      <c r="K37" t="s">
        <v>151</v>
      </c>
      <c r="L37">
        <v>31</v>
      </c>
      <c r="M37">
        <v>86400.133429527195</v>
      </c>
      <c r="P37">
        <v>4.7066211700439401E-3</v>
      </c>
      <c r="Q37" t="s">
        <v>151</v>
      </c>
      <c r="R37">
        <v>31</v>
      </c>
      <c r="S37" t="s">
        <v>152</v>
      </c>
      <c r="T37">
        <v>9.1725875000065502E-2</v>
      </c>
      <c r="U37">
        <v>31</v>
      </c>
      <c r="V37">
        <v>0</v>
      </c>
      <c r="W37">
        <v>0</v>
      </c>
      <c r="X37" t="s">
        <v>152</v>
      </c>
      <c r="Y37">
        <v>0.126252750000276</v>
      </c>
      <c r="Z37">
        <v>31</v>
      </c>
      <c r="AA37">
        <v>0</v>
      </c>
      <c r="AB37">
        <v>0</v>
      </c>
      <c r="AC37" t="s">
        <v>152</v>
      </c>
      <c r="AD37">
        <v>0.91174570899966001</v>
      </c>
      <c r="AE37">
        <v>31</v>
      </c>
      <c r="AF37">
        <v>0</v>
      </c>
      <c r="AG37">
        <v>0</v>
      </c>
      <c r="AH37">
        <v>0</v>
      </c>
    </row>
    <row r="38" spans="1:34" x14ac:dyDescent="0.35">
      <c r="A38">
        <v>37</v>
      </c>
      <c r="B38">
        <v>6</v>
      </c>
      <c r="C38">
        <v>40</v>
      </c>
      <c r="D38">
        <v>31.145901679992601</v>
      </c>
      <c r="E38" t="s">
        <v>153</v>
      </c>
      <c r="F38">
        <v>31</v>
      </c>
      <c r="G38">
        <v>320.65396547317499</v>
      </c>
      <c r="H38" t="s">
        <v>154</v>
      </c>
      <c r="I38">
        <v>31</v>
      </c>
      <c r="J38">
        <v>293.428564310073</v>
      </c>
      <c r="K38" t="s">
        <v>154</v>
      </c>
      <c r="L38">
        <v>31</v>
      </c>
      <c r="M38">
        <v>86400.134007453904</v>
      </c>
      <c r="P38">
        <v>6.2503814697265599E-3</v>
      </c>
      <c r="Q38" t="s">
        <v>155</v>
      </c>
      <c r="R38">
        <v>26</v>
      </c>
      <c r="S38" t="s">
        <v>156</v>
      </c>
      <c r="T38">
        <v>0.15854416599995599</v>
      </c>
      <c r="U38">
        <v>31</v>
      </c>
      <c r="V38">
        <v>0</v>
      </c>
      <c r="W38">
        <v>5</v>
      </c>
      <c r="X38" t="s">
        <v>156</v>
      </c>
      <c r="Y38">
        <v>0.76464012599990305</v>
      </c>
      <c r="Z38">
        <v>31</v>
      </c>
      <c r="AA38">
        <v>0</v>
      </c>
      <c r="AB38">
        <v>5</v>
      </c>
      <c r="AC38" t="s">
        <v>156</v>
      </c>
      <c r="AD38">
        <v>1.67764466700009</v>
      </c>
      <c r="AE38">
        <v>31</v>
      </c>
      <c r="AF38">
        <v>0</v>
      </c>
      <c r="AG38">
        <v>0</v>
      </c>
      <c r="AH38">
        <v>5</v>
      </c>
    </row>
    <row r="39" spans="1:34" x14ac:dyDescent="0.35">
      <c r="A39">
        <v>38</v>
      </c>
      <c r="B39">
        <v>6</v>
      </c>
      <c r="C39">
        <v>40</v>
      </c>
      <c r="D39">
        <v>4.9631543159484801</v>
      </c>
      <c r="E39" t="s">
        <v>157</v>
      </c>
      <c r="F39">
        <v>25</v>
      </c>
      <c r="G39">
        <v>6913.6652741432099</v>
      </c>
      <c r="H39" t="s">
        <v>158</v>
      </c>
      <c r="I39">
        <v>25</v>
      </c>
      <c r="J39">
        <v>546.080072641372</v>
      </c>
      <c r="K39" t="s">
        <v>159</v>
      </c>
      <c r="L39">
        <v>25</v>
      </c>
      <c r="M39">
        <v>86400.127148866595</v>
      </c>
      <c r="P39">
        <v>5.1782131195068299E-3</v>
      </c>
      <c r="Q39" t="s">
        <v>160</v>
      </c>
      <c r="R39">
        <v>14</v>
      </c>
      <c r="S39" t="s">
        <v>161</v>
      </c>
      <c r="T39">
        <v>0.11649966699997</v>
      </c>
      <c r="U39">
        <v>25</v>
      </c>
      <c r="V39">
        <v>0</v>
      </c>
      <c r="W39">
        <v>11</v>
      </c>
      <c r="X39" t="s">
        <v>161</v>
      </c>
      <c r="Y39">
        <v>0.49047770899960502</v>
      </c>
      <c r="Z39">
        <v>25</v>
      </c>
      <c r="AA39">
        <v>0</v>
      </c>
      <c r="AB39">
        <v>11</v>
      </c>
      <c r="AC39" t="s">
        <v>161</v>
      </c>
      <c r="AD39">
        <v>1.0256034170006301</v>
      </c>
      <c r="AE39">
        <v>25</v>
      </c>
      <c r="AF39">
        <v>0</v>
      </c>
      <c r="AG39">
        <v>0</v>
      </c>
      <c r="AH39">
        <v>11</v>
      </c>
    </row>
    <row r="40" spans="1:34" x14ac:dyDescent="0.35">
      <c r="A40">
        <v>39</v>
      </c>
      <c r="B40">
        <v>6</v>
      </c>
      <c r="C40">
        <v>40</v>
      </c>
      <c r="D40">
        <v>79.188139438629094</v>
      </c>
      <c r="E40" t="s">
        <v>162</v>
      </c>
      <c r="F40">
        <v>29</v>
      </c>
      <c r="G40">
        <v>610.82811737060501</v>
      </c>
      <c r="H40" t="s">
        <v>163</v>
      </c>
      <c r="I40">
        <v>29</v>
      </c>
      <c r="J40">
        <v>276.89593887329102</v>
      </c>
      <c r="K40" t="s">
        <v>163</v>
      </c>
      <c r="L40">
        <v>29</v>
      </c>
      <c r="M40">
        <v>86400.126035213398</v>
      </c>
      <c r="P40">
        <v>6.1039924621581997E-3</v>
      </c>
      <c r="Q40" t="s">
        <v>163</v>
      </c>
      <c r="R40">
        <v>29</v>
      </c>
      <c r="S40" t="s">
        <v>164</v>
      </c>
      <c r="T40">
        <v>0.105333333000089</v>
      </c>
      <c r="U40">
        <v>29</v>
      </c>
      <c r="V40">
        <v>0</v>
      </c>
      <c r="W40">
        <v>0</v>
      </c>
      <c r="X40" t="s">
        <v>164</v>
      </c>
      <c r="Y40">
        <v>0.50584537499980797</v>
      </c>
      <c r="Z40">
        <v>29</v>
      </c>
      <c r="AA40">
        <v>0</v>
      </c>
      <c r="AB40">
        <v>0</v>
      </c>
      <c r="AC40" t="s">
        <v>164</v>
      </c>
      <c r="AD40">
        <v>1.0728722090006999</v>
      </c>
      <c r="AE40">
        <v>29</v>
      </c>
      <c r="AF40">
        <v>0</v>
      </c>
      <c r="AG40">
        <v>0</v>
      </c>
      <c r="AH40">
        <v>0</v>
      </c>
    </row>
    <row r="41" spans="1:34" x14ac:dyDescent="0.35">
      <c r="A41">
        <v>40</v>
      </c>
      <c r="B41">
        <v>6</v>
      </c>
      <c r="C41">
        <v>40</v>
      </c>
      <c r="D41">
        <v>922.62835550308205</v>
      </c>
      <c r="E41" t="s">
        <v>165</v>
      </c>
      <c r="F41">
        <v>33</v>
      </c>
      <c r="G41">
        <v>280.592938423156</v>
      </c>
      <c r="H41" t="s">
        <v>165</v>
      </c>
      <c r="I41">
        <v>33</v>
      </c>
      <c r="J41">
        <v>412.89148020744301</v>
      </c>
      <c r="K41" t="s">
        <v>165</v>
      </c>
      <c r="L41">
        <v>33</v>
      </c>
      <c r="M41">
        <v>86400.128802537904</v>
      </c>
      <c r="P41">
        <v>5.1181316375732396E-3</v>
      </c>
      <c r="Q41" t="s">
        <v>166</v>
      </c>
      <c r="R41">
        <v>30</v>
      </c>
      <c r="S41" t="s">
        <v>167</v>
      </c>
      <c r="T41">
        <v>0.10184775000016</v>
      </c>
      <c r="U41">
        <v>32</v>
      </c>
      <c r="V41">
        <v>-1</v>
      </c>
      <c r="W41">
        <v>2</v>
      </c>
      <c r="X41" t="s">
        <v>167</v>
      </c>
      <c r="Y41">
        <v>0.69615558399982502</v>
      </c>
      <c r="Z41">
        <v>32</v>
      </c>
      <c r="AA41">
        <v>-1</v>
      </c>
      <c r="AB41">
        <v>2</v>
      </c>
      <c r="AC41" t="s">
        <v>250</v>
      </c>
      <c r="AD41">
        <v>3.37205650099986</v>
      </c>
      <c r="AE41">
        <v>33</v>
      </c>
      <c r="AF41">
        <v>0</v>
      </c>
      <c r="AG41">
        <v>0</v>
      </c>
      <c r="AH41">
        <v>3</v>
      </c>
    </row>
    <row r="42" spans="1:34" x14ac:dyDescent="0.35">
      <c r="A42">
        <v>41</v>
      </c>
      <c r="B42">
        <v>7</v>
      </c>
      <c r="C42">
        <v>40</v>
      </c>
      <c r="D42">
        <v>712.73984003067005</v>
      </c>
      <c r="E42" t="s">
        <v>168</v>
      </c>
      <c r="F42">
        <v>28</v>
      </c>
      <c r="G42">
        <v>1518.63394331932</v>
      </c>
      <c r="H42" t="s">
        <v>169</v>
      </c>
      <c r="I42">
        <v>28</v>
      </c>
      <c r="J42">
        <v>707.79996132850601</v>
      </c>
      <c r="K42" t="s">
        <v>170</v>
      </c>
      <c r="L42">
        <v>28</v>
      </c>
      <c r="M42">
        <v>86400.211915969805</v>
      </c>
      <c r="P42">
        <v>5.31005859375E-3</v>
      </c>
      <c r="Q42" t="s">
        <v>171</v>
      </c>
      <c r="R42">
        <v>26</v>
      </c>
      <c r="S42" t="s">
        <v>172</v>
      </c>
      <c r="T42">
        <v>0.134515959000054</v>
      </c>
      <c r="U42">
        <v>27</v>
      </c>
      <c r="V42">
        <v>-1</v>
      </c>
      <c r="W42">
        <v>1</v>
      </c>
      <c r="X42" t="s">
        <v>228</v>
      </c>
      <c r="Y42">
        <v>0.85145383400049401</v>
      </c>
      <c r="Z42">
        <v>27</v>
      </c>
      <c r="AA42">
        <v>-1</v>
      </c>
      <c r="AB42">
        <v>1</v>
      </c>
      <c r="AC42" t="s">
        <v>228</v>
      </c>
      <c r="AD42">
        <v>2.5544875010000299</v>
      </c>
      <c r="AE42">
        <v>27</v>
      </c>
      <c r="AF42">
        <v>-1</v>
      </c>
      <c r="AG42">
        <v>-1</v>
      </c>
      <c r="AH42">
        <v>1</v>
      </c>
    </row>
    <row r="43" spans="1:34" x14ac:dyDescent="0.35">
      <c r="A43">
        <v>42</v>
      </c>
      <c r="B43">
        <v>7</v>
      </c>
      <c r="C43">
        <v>40</v>
      </c>
      <c r="D43">
        <v>5505.72230434417</v>
      </c>
      <c r="E43" t="s">
        <v>173</v>
      </c>
      <c r="F43">
        <v>35</v>
      </c>
      <c r="G43">
        <v>580.17795109748795</v>
      </c>
      <c r="H43" t="s">
        <v>173</v>
      </c>
      <c r="I43">
        <v>35</v>
      </c>
      <c r="J43">
        <v>479.90765690803499</v>
      </c>
      <c r="K43" t="s">
        <v>174</v>
      </c>
      <c r="L43">
        <v>35</v>
      </c>
      <c r="M43">
        <v>86400.134572505907</v>
      </c>
      <c r="P43">
        <v>5.4419040679931597E-3</v>
      </c>
      <c r="Q43" t="s">
        <v>175</v>
      </c>
      <c r="R43">
        <v>32</v>
      </c>
      <c r="S43" t="s">
        <v>176</v>
      </c>
      <c r="T43">
        <v>0.103053875000114</v>
      </c>
      <c r="U43">
        <v>34</v>
      </c>
      <c r="V43">
        <v>-1</v>
      </c>
      <c r="W43">
        <v>2</v>
      </c>
      <c r="X43" t="s">
        <v>229</v>
      </c>
      <c r="Y43">
        <v>0.50271679199977304</v>
      </c>
      <c r="Z43">
        <v>33</v>
      </c>
      <c r="AA43">
        <v>-2</v>
      </c>
      <c r="AB43">
        <v>1</v>
      </c>
      <c r="AC43" t="s">
        <v>176</v>
      </c>
      <c r="AD43">
        <v>3.8542224180000599</v>
      </c>
      <c r="AE43">
        <v>34</v>
      </c>
      <c r="AF43">
        <v>-1</v>
      </c>
      <c r="AG43">
        <v>-1</v>
      </c>
      <c r="AH43">
        <v>2</v>
      </c>
    </row>
    <row r="44" spans="1:34" x14ac:dyDescent="0.35">
      <c r="A44">
        <v>43</v>
      </c>
      <c r="B44">
        <v>7</v>
      </c>
      <c r="C44">
        <v>40</v>
      </c>
      <c r="D44">
        <v>640.21524930000305</v>
      </c>
      <c r="E44" t="s">
        <v>177</v>
      </c>
      <c r="F44">
        <v>33</v>
      </c>
      <c r="G44">
        <v>320.01122188568098</v>
      </c>
      <c r="H44" t="s">
        <v>177</v>
      </c>
      <c r="I44">
        <v>33</v>
      </c>
      <c r="J44">
        <v>466.90860319137499</v>
      </c>
      <c r="K44" t="s">
        <v>177</v>
      </c>
      <c r="L44">
        <v>33</v>
      </c>
      <c r="M44">
        <v>86400.131663084001</v>
      </c>
      <c r="P44">
        <v>5.6045055389404297E-3</v>
      </c>
      <c r="Q44" t="s">
        <v>178</v>
      </c>
      <c r="R44">
        <v>30</v>
      </c>
      <c r="S44" t="s">
        <v>179</v>
      </c>
      <c r="T44">
        <v>0.14530545799971101</v>
      </c>
      <c r="U44">
        <v>32</v>
      </c>
      <c r="V44">
        <v>-1</v>
      </c>
      <c r="W44">
        <v>2</v>
      </c>
      <c r="X44" t="s">
        <v>179</v>
      </c>
      <c r="Y44">
        <v>0.75533995800014897</v>
      </c>
      <c r="Z44">
        <v>32</v>
      </c>
      <c r="AA44">
        <v>-1</v>
      </c>
      <c r="AB44">
        <v>2</v>
      </c>
      <c r="AC44" t="s">
        <v>251</v>
      </c>
      <c r="AD44">
        <v>1.99812491700049</v>
      </c>
      <c r="AE44">
        <v>33</v>
      </c>
      <c r="AF44">
        <v>0</v>
      </c>
      <c r="AG44">
        <v>0</v>
      </c>
      <c r="AH44">
        <v>3</v>
      </c>
    </row>
    <row r="45" spans="1:34" x14ac:dyDescent="0.35">
      <c r="A45">
        <v>44</v>
      </c>
      <c r="B45">
        <v>7</v>
      </c>
      <c r="C45">
        <v>40</v>
      </c>
      <c r="D45">
        <v>271.16198706626801</v>
      </c>
      <c r="E45" t="s">
        <v>180</v>
      </c>
      <c r="F45">
        <v>32</v>
      </c>
      <c r="G45">
        <v>94.3208456039428</v>
      </c>
      <c r="H45" t="s">
        <v>180</v>
      </c>
      <c r="I45">
        <v>32</v>
      </c>
      <c r="J45">
        <v>332.61604619026099</v>
      </c>
      <c r="K45" t="s">
        <v>180</v>
      </c>
      <c r="L45">
        <v>32</v>
      </c>
      <c r="M45">
        <v>86400.134548902497</v>
      </c>
      <c r="P45">
        <v>4.8720836639404297E-3</v>
      </c>
      <c r="Q45" t="s">
        <v>180</v>
      </c>
      <c r="R45">
        <v>32</v>
      </c>
      <c r="S45" t="s">
        <v>181</v>
      </c>
      <c r="T45">
        <v>0.104308082999978</v>
      </c>
      <c r="U45">
        <v>32</v>
      </c>
      <c r="V45">
        <v>0</v>
      </c>
      <c r="W45">
        <v>0</v>
      </c>
      <c r="X45" t="s">
        <v>181</v>
      </c>
      <c r="Y45">
        <v>0.544640124999205</v>
      </c>
      <c r="Z45">
        <v>32</v>
      </c>
      <c r="AA45">
        <v>0</v>
      </c>
      <c r="AB45">
        <v>0</v>
      </c>
      <c r="AC45" t="s">
        <v>181</v>
      </c>
      <c r="AD45">
        <v>2.4789781680001299</v>
      </c>
      <c r="AE45">
        <v>32</v>
      </c>
      <c r="AF45">
        <v>0</v>
      </c>
      <c r="AG45">
        <v>0</v>
      </c>
      <c r="AH45">
        <v>0</v>
      </c>
    </row>
    <row r="46" spans="1:34" x14ac:dyDescent="0.35">
      <c r="A46">
        <v>45</v>
      </c>
      <c r="B46">
        <v>7</v>
      </c>
      <c r="C46">
        <v>40</v>
      </c>
      <c r="D46">
        <v>291.48174500465302</v>
      </c>
      <c r="E46" t="s">
        <v>182</v>
      </c>
      <c r="F46">
        <v>29</v>
      </c>
      <c r="G46">
        <v>213.53333497047399</v>
      </c>
      <c r="H46" t="s">
        <v>183</v>
      </c>
      <c r="I46">
        <v>29</v>
      </c>
      <c r="J46">
        <v>478.408534049987</v>
      </c>
      <c r="K46" t="s">
        <v>184</v>
      </c>
      <c r="L46">
        <v>29</v>
      </c>
      <c r="M46">
        <v>86400.129339218096</v>
      </c>
      <c r="P46">
        <v>5.0356388092040998E-3</v>
      </c>
      <c r="Q46" t="s">
        <v>185</v>
      </c>
      <c r="R46">
        <v>24</v>
      </c>
      <c r="S46" t="s">
        <v>186</v>
      </c>
      <c r="T46">
        <v>0.14090329200007501</v>
      </c>
      <c r="U46">
        <v>29</v>
      </c>
      <c r="V46">
        <v>0</v>
      </c>
      <c r="W46">
        <v>5</v>
      </c>
      <c r="X46" t="s">
        <v>186</v>
      </c>
      <c r="Y46">
        <v>0.50693925000086804</v>
      </c>
      <c r="Z46">
        <v>29</v>
      </c>
      <c r="AA46">
        <v>0</v>
      </c>
      <c r="AB46">
        <v>5</v>
      </c>
      <c r="AC46" t="s">
        <v>252</v>
      </c>
      <c r="AD46">
        <v>1.01202449999982</v>
      </c>
      <c r="AE46">
        <v>29</v>
      </c>
      <c r="AF46">
        <v>0</v>
      </c>
      <c r="AG46">
        <v>0</v>
      </c>
      <c r="AH46">
        <v>5</v>
      </c>
    </row>
    <row r="47" spans="1:34" x14ac:dyDescent="0.35">
      <c r="A47">
        <v>46</v>
      </c>
      <c r="B47">
        <v>7</v>
      </c>
      <c r="C47">
        <v>40</v>
      </c>
      <c r="D47">
        <v>50.2884037494659</v>
      </c>
      <c r="E47" t="s">
        <v>187</v>
      </c>
      <c r="F47">
        <v>35</v>
      </c>
      <c r="G47">
        <v>89.7342205047607</v>
      </c>
      <c r="H47" t="s">
        <v>188</v>
      </c>
      <c r="I47">
        <v>35</v>
      </c>
      <c r="J47">
        <v>544.07556653022698</v>
      </c>
      <c r="K47" t="s">
        <v>187</v>
      </c>
      <c r="L47">
        <v>35</v>
      </c>
      <c r="M47">
        <v>86400.1261193752</v>
      </c>
      <c r="P47">
        <v>5.8310031890869097E-3</v>
      </c>
      <c r="Q47" t="s">
        <v>189</v>
      </c>
      <c r="R47">
        <v>33</v>
      </c>
      <c r="S47" t="s">
        <v>190</v>
      </c>
      <c r="T47">
        <v>0.13723908300016699</v>
      </c>
      <c r="U47">
        <v>33</v>
      </c>
      <c r="V47">
        <v>-2</v>
      </c>
      <c r="W47">
        <v>0</v>
      </c>
      <c r="X47" t="s">
        <v>230</v>
      </c>
      <c r="Y47">
        <v>1.22124062599959</v>
      </c>
      <c r="Z47">
        <v>35</v>
      </c>
      <c r="AA47">
        <v>0</v>
      </c>
      <c r="AB47">
        <v>2</v>
      </c>
      <c r="AC47" t="s">
        <v>230</v>
      </c>
      <c r="AD47">
        <v>5.3473507110002103</v>
      </c>
      <c r="AE47">
        <v>35</v>
      </c>
      <c r="AF47">
        <v>0</v>
      </c>
      <c r="AG47">
        <v>0</v>
      </c>
      <c r="AH47">
        <v>2</v>
      </c>
    </row>
    <row r="48" spans="1:34" x14ac:dyDescent="0.35">
      <c r="A48">
        <v>47</v>
      </c>
      <c r="B48">
        <v>7</v>
      </c>
      <c r="C48">
        <v>40</v>
      </c>
      <c r="D48">
        <v>28681.8346641063</v>
      </c>
      <c r="E48" t="s">
        <v>191</v>
      </c>
      <c r="F48">
        <v>32</v>
      </c>
      <c r="G48">
        <v>638.05624175071705</v>
      </c>
      <c r="H48" t="s">
        <v>192</v>
      </c>
      <c r="I48">
        <v>32</v>
      </c>
      <c r="J48">
        <v>463.24853658676102</v>
      </c>
      <c r="K48" t="s">
        <v>193</v>
      </c>
      <c r="L48">
        <v>32</v>
      </c>
      <c r="M48">
        <v>86400.312841892199</v>
      </c>
      <c r="P48">
        <v>5.4316520690917899E-3</v>
      </c>
      <c r="Q48" t="s">
        <v>194</v>
      </c>
      <c r="R48">
        <v>31</v>
      </c>
      <c r="S48" t="s">
        <v>195</v>
      </c>
      <c r="T48">
        <v>7.6273958000001502E-2</v>
      </c>
      <c r="U48">
        <v>32</v>
      </c>
      <c r="V48">
        <v>0</v>
      </c>
      <c r="W48">
        <v>1</v>
      </c>
      <c r="X48" t="s">
        <v>231</v>
      </c>
      <c r="Y48">
        <v>0.83446166699923197</v>
      </c>
      <c r="Z48">
        <v>32</v>
      </c>
      <c r="AA48">
        <v>0</v>
      </c>
      <c r="AB48">
        <v>1</v>
      </c>
      <c r="AC48" t="s">
        <v>231</v>
      </c>
      <c r="AD48">
        <v>3.0783139179993602</v>
      </c>
      <c r="AE48">
        <v>32</v>
      </c>
      <c r="AF48">
        <v>0</v>
      </c>
      <c r="AG48">
        <v>0</v>
      </c>
      <c r="AH48">
        <v>1</v>
      </c>
    </row>
    <row r="49" spans="1:34" x14ac:dyDescent="0.35">
      <c r="A49">
        <v>48</v>
      </c>
      <c r="B49">
        <v>7</v>
      </c>
      <c r="C49">
        <v>40</v>
      </c>
      <c r="D49">
        <v>24.768089056015</v>
      </c>
      <c r="E49" t="s">
        <v>196</v>
      </c>
      <c r="F49">
        <v>23</v>
      </c>
      <c r="G49">
        <v>17601.845165967901</v>
      </c>
      <c r="H49" t="s">
        <v>197</v>
      </c>
      <c r="I49">
        <v>23</v>
      </c>
      <c r="J49">
        <v>1496.15870833396</v>
      </c>
      <c r="K49" t="s">
        <v>198</v>
      </c>
      <c r="L49">
        <v>23</v>
      </c>
      <c r="M49">
        <v>86400.219609498905</v>
      </c>
      <c r="P49">
        <v>4.7314167022705E-3</v>
      </c>
      <c r="Q49" t="s">
        <v>199</v>
      </c>
      <c r="R49">
        <v>19</v>
      </c>
      <c r="S49" t="s">
        <v>200</v>
      </c>
      <c r="T49">
        <v>0.13343433399995699</v>
      </c>
      <c r="U49">
        <v>23</v>
      </c>
      <c r="V49">
        <v>0</v>
      </c>
      <c r="W49">
        <v>4</v>
      </c>
      <c r="X49" t="s">
        <v>200</v>
      </c>
      <c r="Y49">
        <v>0.47714245899987801</v>
      </c>
      <c r="Z49">
        <v>23</v>
      </c>
      <c r="AA49">
        <v>0</v>
      </c>
      <c r="AB49">
        <v>4</v>
      </c>
      <c r="AC49" t="s">
        <v>200</v>
      </c>
      <c r="AD49">
        <v>1.4057622509999399</v>
      </c>
      <c r="AE49">
        <v>23</v>
      </c>
      <c r="AF49">
        <v>0</v>
      </c>
      <c r="AG49">
        <v>0</v>
      </c>
      <c r="AH49">
        <v>4</v>
      </c>
    </row>
    <row r="50" spans="1:34" x14ac:dyDescent="0.35">
      <c r="A50">
        <v>49</v>
      </c>
      <c r="B50">
        <v>7</v>
      </c>
      <c r="C50">
        <v>40</v>
      </c>
      <c r="D50">
        <v>20.868867158889699</v>
      </c>
      <c r="E50" t="s">
        <v>201</v>
      </c>
      <c r="F50">
        <v>25</v>
      </c>
      <c r="G50">
        <v>5634.1728641986801</v>
      </c>
      <c r="H50" t="s">
        <v>202</v>
      </c>
      <c r="I50">
        <v>25</v>
      </c>
      <c r="J50">
        <v>1068.1284990310601</v>
      </c>
      <c r="K50" t="s">
        <v>201</v>
      </c>
      <c r="L50">
        <v>25</v>
      </c>
      <c r="M50">
        <v>86400.086030006394</v>
      </c>
      <c r="P50">
        <v>4.53543663024902E-3</v>
      </c>
      <c r="Q50" t="s">
        <v>203</v>
      </c>
      <c r="R50">
        <v>19</v>
      </c>
      <c r="S50" t="s">
        <v>204</v>
      </c>
      <c r="T50">
        <v>0.104485040999861</v>
      </c>
      <c r="U50">
        <v>25</v>
      </c>
      <c r="V50">
        <v>0</v>
      </c>
      <c r="W50">
        <v>6</v>
      </c>
      <c r="X50" t="s">
        <v>204</v>
      </c>
      <c r="Y50">
        <v>0.34610658299970898</v>
      </c>
      <c r="Z50">
        <v>25</v>
      </c>
      <c r="AA50">
        <v>0</v>
      </c>
      <c r="AB50">
        <v>6</v>
      </c>
      <c r="AC50" t="s">
        <v>204</v>
      </c>
      <c r="AD50">
        <v>1.33293304200014</v>
      </c>
      <c r="AE50">
        <v>25</v>
      </c>
      <c r="AF50">
        <v>0</v>
      </c>
      <c r="AG50">
        <v>0</v>
      </c>
      <c r="AH50">
        <v>6</v>
      </c>
    </row>
    <row r="51" spans="1:34" x14ac:dyDescent="0.35">
      <c r="A51">
        <v>50</v>
      </c>
      <c r="B51">
        <v>7</v>
      </c>
      <c r="C51">
        <v>40</v>
      </c>
      <c r="D51">
        <v>18.745156764984099</v>
      </c>
      <c r="E51" t="s">
        <v>205</v>
      </c>
      <c r="F51">
        <v>31</v>
      </c>
      <c r="G51">
        <v>163.14162302017201</v>
      </c>
      <c r="H51" t="s">
        <v>205</v>
      </c>
      <c r="I51">
        <v>31</v>
      </c>
      <c r="J51">
        <v>452.50598287582397</v>
      </c>
      <c r="K51" t="s">
        <v>205</v>
      </c>
      <c r="L51">
        <v>31</v>
      </c>
      <c r="M51">
        <v>86400.124464988694</v>
      </c>
      <c r="P51">
        <v>4.9333572387695304E-3</v>
      </c>
      <c r="Q51" t="s">
        <v>206</v>
      </c>
      <c r="R51">
        <v>29</v>
      </c>
      <c r="S51" t="s">
        <v>207</v>
      </c>
      <c r="T51">
        <v>9.0025083000000394E-2</v>
      </c>
      <c r="U51">
        <v>31</v>
      </c>
      <c r="V51">
        <v>0</v>
      </c>
      <c r="W51">
        <v>2</v>
      </c>
      <c r="X51" t="s">
        <v>207</v>
      </c>
      <c r="Y51">
        <v>0.32029962500018799</v>
      </c>
      <c r="Z51">
        <v>31</v>
      </c>
      <c r="AA51">
        <v>0</v>
      </c>
      <c r="AB51">
        <v>2</v>
      </c>
      <c r="AC51" t="s">
        <v>207</v>
      </c>
      <c r="AD51">
        <v>0.65302429199982703</v>
      </c>
      <c r="AE51">
        <v>31</v>
      </c>
      <c r="AF51">
        <v>0</v>
      </c>
      <c r="AG51">
        <v>0</v>
      </c>
      <c r="AH5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DEFA-C30B-4927-B0B6-2BE344E4D0E0}">
  <dimension ref="A1:J17"/>
  <sheetViews>
    <sheetView workbookViewId="0">
      <selection activeCell="A2" sqref="A2:B6"/>
    </sheetView>
  </sheetViews>
  <sheetFormatPr defaultRowHeight="14.5" x14ac:dyDescent="0.35"/>
  <cols>
    <col min="1" max="1" width="12.1796875" customWidth="1"/>
    <col min="2" max="2" width="12.26953125" customWidth="1"/>
    <col min="3" max="3" width="34.81640625" customWidth="1"/>
    <col min="4" max="6" width="33.453125" customWidth="1"/>
    <col min="7" max="8" width="24.81640625" customWidth="1"/>
    <col min="9" max="9" width="17.54296875" bestFit="1" customWidth="1"/>
  </cols>
  <sheetData>
    <row r="1" spans="1:10" x14ac:dyDescent="0.35">
      <c r="A1" s="2" t="s">
        <v>270</v>
      </c>
      <c r="B1" s="3" t="s">
        <v>259</v>
      </c>
      <c r="C1" s="3" t="s">
        <v>260</v>
      </c>
      <c r="D1" s="3" t="s">
        <v>261</v>
      </c>
      <c r="E1" s="3" t="s">
        <v>262</v>
      </c>
      <c r="F1" s="4" t="s">
        <v>263</v>
      </c>
      <c r="G1" s="3" t="s">
        <v>274</v>
      </c>
      <c r="H1" s="3" t="s">
        <v>275</v>
      </c>
      <c r="I1" s="3" t="s">
        <v>276</v>
      </c>
      <c r="J1" s="3" t="s">
        <v>277</v>
      </c>
    </row>
    <row r="2" spans="1:10" x14ac:dyDescent="0.35">
      <c r="A2">
        <v>3</v>
      </c>
      <c r="B2">
        <f>COUNTIF(Table1[root degree],Table2[[#This Row],[Grado raíz]])</f>
        <v>10</v>
      </c>
      <c r="C2" s="5">
        <f>AVERAGEIF(Table1[root degree],Table2[[#This Row],[Grado raíz]],Table1[optimal_iqcp])</f>
        <v>34.700000000000003</v>
      </c>
      <c r="D2" s="5">
        <f>AVERAGEIF(Table1[root degree],Table2[[#This Row],[Grado raíz]],Table1[optimal_rollout k=1])</f>
        <v>33.6</v>
      </c>
      <c r="E2" s="5">
        <f>AVERAGEIF(Table1[root degree],Table2[[#This Row],[Grado raíz]],Table1[optimal_rollout k=2])</f>
        <v>34.6</v>
      </c>
      <c r="F2" s="5">
        <f>AVERAGEIF(Table1[root degree],Table2[[#This Row],[Grado raíz]],Table1[optimal_rollout k=3])</f>
        <v>34.6</v>
      </c>
      <c r="G2" s="5">
        <f>((Table2[[#This Row],[Prom. Nodos salvados óptimo IQCP]]-Table2[[#This Row],[Prom. Nodos salvados Rollout k=1]])/Table2[[#This Row],[Prom. Nodos salvados óptimo IQCP]])*100</f>
        <v>3.1700288184438077</v>
      </c>
      <c r="H2" s="5">
        <f>((Table2[[#This Row],[Prom. Nodos salvados óptimo IQCP]]-Table2[[#This Row],[Prom. Nodos salvados Rollout k=2]])/Table2[[#This Row],[Prom. Nodos salvados óptimo IQCP]])*100</f>
        <v>0.28818443804034988</v>
      </c>
      <c r="I2" s="5">
        <f>((Table2[[#This Row],[Prom. Nodos salvados óptimo IQCP]]-Table2[[#This Row],[Prom. Nodos salvados Rollout k=3]])/Table2[[#This Row],[Prom. Nodos salvados óptimo IQCP]])*100</f>
        <v>0.28818443804034988</v>
      </c>
      <c r="J2" s="5">
        <f>AVERAGEIF(Table1[root degree],Table2[[#This Row],[Grado raíz]],Table1[optimal_greedy])</f>
        <v>33</v>
      </c>
    </row>
    <row r="3" spans="1:10" x14ac:dyDescent="0.35">
      <c r="A3">
        <v>4</v>
      </c>
      <c r="B3">
        <f>COUNTIF(Table1[root degree],Table2[[#This Row],[Grado raíz]])</f>
        <v>10</v>
      </c>
      <c r="C3" s="5">
        <f>AVERAGEIF(Table1[root degree],Table2[[#This Row],[Grado raíz]],Table1[optimal_iqcp])</f>
        <v>35.199999999999989</v>
      </c>
      <c r="D3" s="5">
        <f>AVERAGEIF(Table1[root degree],Table2[[#This Row],[Grado raíz]],Table1[optimal_rollout k=1])</f>
        <v>32.4</v>
      </c>
      <c r="E3" s="5">
        <f>AVERAGEIF(Table1[root degree],Table2[[#This Row],[Grado raíz]],Table1[optimal_rollout k=2])</f>
        <v>35</v>
      </c>
      <c r="F3" s="5">
        <f>AVERAGEIF(Table1[root degree],Table2[[#This Row],[Grado raíz]],Table1[optimal_rollout k=3])</f>
        <v>35.1</v>
      </c>
      <c r="G3" s="5">
        <f>((Table2[[#This Row],[Prom. Nodos salvados óptimo IQCP]]-Table2[[#This Row],[Prom. Nodos salvados Rollout k=1]])/Table2[[#This Row],[Prom. Nodos salvados óptimo IQCP]])*100</f>
        <v>7.9545454545454293</v>
      </c>
      <c r="H3" s="5">
        <f>((Table2[[#This Row],[Prom. Nodos salvados óptimo IQCP]]-Table2[[#This Row],[Prom. Nodos salvados Rollout k=2]])/Table2[[#This Row],[Prom. Nodos salvados óptimo IQCP]])*100</f>
        <v>0.56818181818178615</v>
      </c>
      <c r="I3" s="5">
        <f>((Table2[[#This Row],[Prom. Nodos salvados óptimo IQCP]]-Table2[[#This Row],[Prom. Nodos salvados Rollout k=3]])/Table2[[#This Row],[Prom. Nodos salvados óptimo IQCP]])*100</f>
        <v>0.28409090909087287</v>
      </c>
      <c r="J3" s="5">
        <f>AVERAGEIF(Table1[root degree],Table2[[#This Row],[Grado raíz]],Table1[optimal_greedy])</f>
        <v>34.4</v>
      </c>
    </row>
    <row r="4" spans="1:10" x14ac:dyDescent="0.35">
      <c r="A4">
        <v>5</v>
      </c>
      <c r="B4">
        <f>COUNTIF(Table1[root degree],Table2[[#This Row],[Grado raíz]])</f>
        <v>10</v>
      </c>
      <c r="C4" s="5">
        <f>AVERAGEIF(Table1[root degree],Table2[[#This Row],[Grado raíz]],Table1[optimal_iqcp])</f>
        <v>34.700000000000003</v>
      </c>
      <c r="D4" s="5">
        <f>AVERAGEIF(Table1[root degree],Table2[[#This Row],[Grado raíz]],Table1[optimal_rollout k=1])</f>
        <v>33.299999999999997</v>
      </c>
      <c r="E4" s="5">
        <f>AVERAGEIF(Table1[root degree],Table2[[#This Row],[Grado raíz]],Table1[optimal_rollout k=2])</f>
        <v>34.1</v>
      </c>
      <c r="F4" s="5">
        <f>AVERAGEIF(Table1[root degree],Table2[[#This Row],[Grado raíz]],Table1[optimal_rollout k=3])</f>
        <v>34.6</v>
      </c>
      <c r="G4" s="5">
        <f>((Table2[[#This Row],[Prom. Nodos salvados óptimo IQCP]]-Table2[[#This Row],[Prom. Nodos salvados Rollout k=1]])/Table2[[#This Row],[Prom. Nodos salvados óptimo IQCP]])*100</f>
        <v>4.0345821325648572</v>
      </c>
      <c r="H4" s="5">
        <f>((Table2[[#This Row],[Prom. Nodos salvados óptimo IQCP]]-Table2[[#This Row],[Prom. Nodos salvados Rollout k=2]])/Table2[[#This Row],[Prom. Nodos salvados óptimo IQCP]])*100</f>
        <v>1.7291066282420788</v>
      </c>
      <c r="I4" s="5">
        <f>((Table2[[#This Row],[Prom. Nodos salvados óptimo IQCP]]-Table2[[#This Row],[Prom. Nodos salvados Rollout k=3]])/Table2[[#This Row],[Prom. Nodos salvados óptimo IQCP]])*100</f>
        <v>0.28818443804034988</v>
      </c>
      <c r="J4" s="5">
        <f>AVERAGEIF(Table1[root degree],Table2[[#This Row],[Grado raíz]],Table1[optimal_greedy])</f>
        <v>32.700000000000003</v>
      </c>
    </row>
    <row r="5" spans="1:10" x14ac:dyDescent="0.35">
      <c r="A5">
        <v>6</v>
      </c>
      <c r="B5">
        <f>COUNTIF(Table1[root degree],Table2[[#This Row],[Grado raíz]])</f>
        <v>10</v>
      </c>
      <c r="C5" s="5">
        <f>AVERAGEIF(Table1[root degree],Table2[[#This Row],[Grado raíz]],Table1[optimal_iqcp])</f>
        <v>31.4</v>
      </c>
      <c r="D5" s="5">
        <f>AVERAGEIF(Table1[root degree],Table2[[#This Row],[Grado raíz]],Table1[optimal_rollout k=1])</f>
        <v>29.4</v>
      </c>
      <c r="E5" s="5">
        <f>AVERAGEIF(Table1[root degree],Table2[[#This Row],[Grado raíz]],Table1[optimal_rollout k=2])</f>
        <v>31.1</v>
      </c>
      <c r="F5" s="5">
        <f>AVERAGEIF(Table1[root degree],Table2[[#This Row],[Grado raíz]],Table1[optimal_rollout k=3])</f>
        <v>31.3</v>
      </c>
      <c r="G5" s="5">
        <f>((Table2[[#This Row],[Prom. Nodos salvados óptimo IQCP]]-Table2[[#This Row],[Prom. Nodos salvados Rollout k=1]])/Table2[[#This Row],[Prom. Nodos salvados óptimo IQCP]])*100</f>
        <v>6.369426751592357</v>
      </c>
      <c r="H5" s="5">
        <f>((Table2[[#This Row],[Prom. Nodos salvados óptimo IQCP]]-Table2[[#This Row],[Prom. Nodos salvados Rollout k=2]])/Table2[[#This Row],[Prom. Nodos salvados óptimo IQCP]])*100</f>
        <v>0.95541401273884441</v>
      </c>
      <c r="I5" s="5">
        <f>((Table2[[#This Row],[Prom. Nodos salvados óptimo IQCP]]-Table2[[#This Row],[Prom. Nodos salvados Rollout k=3]])/Table2[[#This Row],[Prom. Nodos salvados óptimo IQCP]])*100</f>
        <v>0.31847133757961105</v>
      </c>
      <c r="J5" s="5">
        <f>AVERAGEIF(Table1[root degree],Table2[[#This Row],[Grado raíz]],Table1[optimal_greedy])</f>
        <v>28.7</v>
      </c>
    </row>
    <row r="6" spans="1:10" x14ac:dyDescent="0.35">
      <c r="A6">
        <v>7</v>
      </c>
      <c r="B6">
        <f>COUNTIF(Table1[root degree],Table2[[#This Row],[Grado raíz]])</f>
        <v>10</v>
      </c>
      <c r="C6" s="5">
        <f>AVERAGEIF(Table1[root degree],Table2[[#This Row],[Grado raíz]],Table1[optimal_iqcp])</f>
        <v>30.3</v>
      </c>
      <c r="D6" s="5">
        <f>AVERAGEIF(Table1[root degree],Table2[[#This Row],[Grado raíz]],Table1[optimal_rollout k=1])</f>
        <v>29.8</v>
      </c>
      <c r="E6" s="5">
        <f>AVERAGEIF(Table1[root degree],Table2[[#This Row],[Grado raíz]],Table1[optimal_rollout k=2])</f>
        <v>29.9</v>
      </c>
      <c r="F6" s="5">
        <f>AVERAGEIF(Table1[root degree],Table2[[#This Row],[Grado raíz]],Table1[optimal_rollout k=3])</f>
        <v>30.1</v>
      </c>
      <c r="G6" s="5">
        <f>((Table2[[#This Row],[Prom. Nodos salvados óptimo IQCP]]-Table2[[#This Row],[Prom. Nodos salvados Rollout k=1]])/Table2[[#This Row],[Prom. Nodos salvados óptimo IQCP]])*100</f>
        <v>1.6501650165016499</v>
      </c>
      <c r="H6" s="5">
        <f>((Table2[[#This Row],[Prom. Nodos salvados óptimo IQCP]]-Table2[[#This Row],[Prom. Nodos salvados Rollout k=2]])/Table2[[#This Row],[Prom. Nodos salvados óptimo IQCP]])*100</f>
        <v>1.320132013201327</v>
      </c>
      <c r="I6" s="5">
        <f>((Table2[[#This Row],[Prom. Nodos salvados óptimo IQCP]]-Table2[[#This Row],[Prom. Nodos salvados Rollout k=3]])/Table2[[#This Row],[Prom. Nodos salvados óptimo IQCP]])*100</f>
        <v>0.66006600660065773</v>
      </c>
      <c r="J6" s="5">
        <f>AVERAGEIF(Table1[root degree],Table2[[#This Row],[Grado raíz]],Table1[optimal_greedy])</f>
        <v>27.5</v>
      </c>
    </row>
    <row r="12" spans="1:10" x14ac:dyDescent="0.35">
      <c r="A12" s="2" t="s">
        <v>270</v>
      </c>
      <c r="B12" s="3" t="s">
        <v>259</v>
      </c>
      <c r="C12" s="3" t="s">
        <v>264</v>
      </c>
      <c r="D12" s="3" t="s">
        <v>265</v>
      </c>
      <c r="E12" s="3" t="s">
        <v>266</v>
      </c>
      <c r="F12" s="3" t="s">
        <v>267</v>
      </c>
      <c r="G12" s="3" t="s">
        <v>268</v>
      </c>
      <c r="H12" s="4" t="s">
        <v>269</v>
      </c>
      <c r="I12" s="3" t="s">
        <v>277</v>
      </c>
    </row>
    <row r="13" spans="1:10" x14ac:dyDescent="0.35">
      <c r="A13">
        <v>3</v>
      </c>
      <c r="B13">
        <f>COUNTIF(Table1[root degree],Table3[[#This Row],[Grado raíz]])</f>
        <v>10</v>
      </c>
      <c r="C13">
        <f>AVERAGEIF(Table1[root degree],Table3[[#This Row],[Grado raíz]],Table1[duration_miqcp])</f>
        <v>86400.180150699598</v>
      </c>
      <c r="D13">
        <f>AVERAGEIF(Table1[root degree],Table3[[#This Row],[Grado raíz]],Table1[duration_iqcp])</f>
        <v>59.419794297218303</v>
      </c>
      <c r="E13">
        <f>AVERAGEIF(Table1[root degree],Table3[[#This Row],[Grado raíz]],Table1[duration_ilp])</f>
        <v>223.74310989379828</v>
      </c>
      <c r="F13">
        <f>AVERAGEIF(Table1[root degree],Table3[[#This Row],[Grado raíz]],Table1[time_taken k=1])</f>
        <v>0.14779471669999075</v>
      </c>
      <c r="G13">
        <f>AVERAGEIF(Table1[root degree],Table3[[#This Row],[Grado raíz]],Table1[time_taken k=2])</f>
        <v>0.83735418810010531</v>
      </c>
      <c r="H13">
        <f>AVERAGEIF(Table1[root degree],Table3[[#This Row],[Grado raíz]],Table1[time_taken k=3])</f>
        <v>2.6703245053998161</v>
      </c>
      <c r="I13">
        <f>AVERAGEIF(Table1[root degree],Table3[[#This Row],[Grado raíz]],Table1[duration_greedy])</f>
        <v>5.2127599716186492E-3</v>
      </c>
    </row>
    <row r="14" spans="1:10" x14ac:dyDescent="0.35">
      <c r="A14">
        <v>4</v>
      </c>
      <c r="B14">
        <f>COUNTIF(Table1[root degree],Table3[[#This Row],[Grado raíz]])</f>
        <v>10</v>
      </c>
      <c r="C14">
        <f>AVERAGEIF(Table1[root degree],Table3[[#This Row],[Grado raíz]],Table1[duration_miqcp])</f>
        <v>77764.879277253116</v>
      </c>
      <c r="D14">
        <f>AVERAGEIF(Table1[root degree],Table3[[#This Row],[Grado raíz]],Table1[duration_iqcp])</f>
        <v>148.05524251461026</v>
      </c>
      <c r="E14">
        <f>AVERAGEIF(Table1[root degree],Table3[[#This Row],[Grado raíz]],Table1[duration_ilp])</f>
        <v>252.69481949806169</v>
      </c>
      <c r="F14">
        <f>AVERAGEIF(Table1[root degree],Table3[[#This Row],[Grado raíz]],Table1[time_taken k=1])</f>
        <v>0.18589186699996341</v>
      </c>
      <c r="G14">
        <f>AVERAGEIF(Table1[root degree],Table3[[#This Row],[Grado raíz]],Table1[time_taken k=2])</f>
        <v>0.80302034190017102</v>
      </c>
      <c r="H14">
        <f>AVERAGEIF(Table1[root degree],Table3[[#This Row],[Grado raíz]],Table1[time_taken k=3])</f>
        <v>2.9654247012997943</v>
      </c>
      <c r="I14">
        <f>AVERAGEIF(Table1[root degree],Table3[[#This Row],[Grado raíz]],Table1[duration_greedy])</f>
        <v>5.0603389739990162E-3</v>
      </c>
    </row>
    <row r="15" spans="1:10" x14ac:dyDescent="0.35">
      <c r="A15">
        <v>5</v>
      </c>
      <c r="B15">
        <f>COUNTIF(Table1[root degree],Table3[[#This Row],[Grado raíz]])</f>
        <v>10</v>
      </c>
      <c r="C15">
        <f>AVERAGEIF(Table1[root degree],Table3[[#This Row],[Grado raíz]],Table1[duration_miqcp])</f>
        <v>81180.44306766981</v>
      </c>
      <c r="D15">
        <f>AVERAGEIF(Table1[root degree],Table3[[#This Row],[Grado raíz]],Table1[duration_iqcp])</f>
        <v>84.239138317108072</v>
      </c>
      <c r="E15">
        <f>AVERAGEIF(Table1[root degree],Table3[[#This Row],[Grado raíz]],Table1[duration_ilp])</f>
        <v>299.32945880889844</v>
      </c>
      <c r="F15">
        <f>AVERAGEIF(Table1[root degree],Table3[[#This Row],[Grado raíz]],Table1[time_taken k=1])</f>
        <v>0.15441101659989681</v>
      </c>
      <c r="G15">
        <f>AVERAGEIF(Table1[root degree],Table3[[#This Row],[Grado raíz]],Table1[time_taken k=2])</f>
        <v>0.77951311290016534</v>
      </c>
      <c r="H15">
        <f>AVERAGEIF(Table1[root degree],Table3[[#This Row],[Grado raíz]],Table1[time_taken k=3])</f>
        <v>3.3941497476002005</v>
      </c>
      <c r="I15">
        <f>AVERAGEIF(Table1[root degree],Table3[[#This Row],[Grado raíz]],Table1[duration_greedy])</f>
        <v>5.1291227340698204E-3</v>
      </c>
    </row>
    <row r="16" spans="1:10" x14ac:dyDescent="0.35">
      <c r="A16">
        <v>6</v>
      </c>
      <c r="B16">
        <f>COUNTIF(Table1[root degree],Table3[[#This Row],[Grado raíz]])</f>
        <v>10</v>
      </c>
      <c r="C16">
        <f>AVERAGEIF(Table1[root degree],Table3[[#This Row],[Grado raíz]],Table1[duration_miqcp])</f>
        <v>86400.127089905698</v>
      </c>
      <c r="D16">
        <f>AVERAGEIF(Table1[root degree],Table3[[#This Row],[Grado raíz]],Table1[duration_iqcp])</f>
        <v>1005.3736598014817</v>
      </c>
      <c r="E16">
        <f>AVERAGEIF(Table1[root degree],Table3[[#This Row],[Grado raíz]],Table1[duration_ilp])</f>
        <v>339.81339509487117</v>
      </c>
      <c r="F16">
        <f>AVERAGEIF(Table1[root degree],Table3[[#This Row],[Grado raíz]],Table1[time_taken k=1])</f>
        <v>0.14863442910000191</v>
      </c>
      <c r="G16">
        <f>AVERAGEIF(Table1[root degree],Table3[[#This Row],[Grado raíz]],Table1[time_taken k=2])</f>
        <v>0.67259247540005052</v>
      </c>
      <c r="H16">
        <f>AVERAGEIF(Table1[root degree],Table3[[#This Row],[Grado raíz]],Table1[time_taken k=3])</f>
        <v>2.6389324594002486</v>
      </c>
      <c r="I16">
        <f>AVERAGEIF(Table1[root degree],Table3[[#This Row],[Grado raíz]],Table1[duration_greedy])</f>
        <v>5.593585968017574E-3</v>
      </c>
    </row>
    <row r="17" spans="1:9" x14ac:dyDescent="0.35">
      <c r="A17">
        <v>7</v>
      </c>
      <c r="B17">
        <f>COUNTIF(Table1[root degree],Table3[[#This Row],[Grado raíz]])</f>
        <v>10</v>
      </c>
      <c r="C17">
        <f>AVERAGEIF(Table1[root degree],Table3[[#This Row],[Grado raíz]],Table1[duration_miqcp])</f>
        <v>86400.16111054417</v>
      </c>
      <c r="D17">
        <f>AVERAGEIF(Table1[root degree],Table3[[#This Row],[Grado raíz]],Table1[duration_iqcp])</f>
        <v>2685.3627412319138</v>
      </c>
      <c r="E17">
        <f>AVERAGEIF(Table1[root degree],Table3[[#This Row],[Grado raíz]],Table1[duration_ilp])</f>
        <v>648.97580950259965</v>
      </c>
      <c r="F17">
        <f>AVERAGEIF(Table1[root degree],Table3[[#This Row],[Grado raíz]],Table1[time_taken k=1])</f>
        <v>0.11695441659999188</v>
      </c>
      <c r="G17">
        <f>AVERAGEIF(Table1[root degree],Table3[[#This Row],[Grado raíz]],Table1[time_taken k=2])</f>
        <v>0.63603409189990856</v>
      </c>
      <c r="H17">
        <f>AVERAGEIF(Table1[root degree],Table3[[#This Row],[Grado raíz]],Table1[time_taken k=3])</f>
        <v>2.3715221718000001</v>
      </c>
      <c r="I17">
        <f>AVERAGEIF(Table1[root degree],Table3[[#This Row],[Grado raíz]],Table1[duration_greedy])</f>
        <v>5.1727056503295867E-3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F500-8D23-450B-9D9A-1CB19CC22A52}">
  <dimension ref="A1:J51"/>
  <sheetViews>
    <sheetView workbookViewId="0">
      <selection activeCell="L7" sqref="L7"/>
    </sheetView>
  </sheetViews>
  <sheetFormatPr defaultRowHeight="14.5" x14ac:dyDescent="0.35"/>
  <cols>
    <col min="1" max="2" width="13.54296875" customWidth="1"/>
    <col min="3" max="3" width="13.1796875" customWidth="1"/>
    <col min="4" max="4" width="14.7265625" customWidth="1"/>
    <col min="5" max="5" width="13.26953125" bestFit="1" customWidth="1"/>
    <col min="6" max="6" width="16.453125" customWidth="1"/>
    <col min="7" max="7" width="17.7265625" customWidth="1"/>
    <col min="8" max="9" width="22.54296875" bestFit="1" customWidth="1"/>
    <col min="10" max="10" width="20.81640625" customWidth="1"/>
    <col min="11" max="11" width="19.7265625" customWidth="1"/>
    <col min="12" max="12" width="23.54296875" customWidth="1"/>
  </cols>
  <sheetData>
    <row r="1" spans="1:10" x14ac:dyDescent="0.35">
      <c r="A1" t="s">
        <v>0</v>
      </c>
      <c r="B1" t="s">
        <v>232</v>
      </c>
      <c r="C1" t="s">
        <v>3</v>
      </c>
      <c r="D1" t="s">
        <v>6</v>
      </c>
      <c r="E1" t="s">
        <v>273</v>
      </c>
      <c r="F1" t="s">
        <v>9</v>
      </c>
      <c r="G1" t="s">
        <v>12</v>
      </c>
      <c r="H1" t="s">
        <v>210</v>
      </c>
      <c r="I1" t="s">
        <v>235</v>
      </c>
      <c r="J1" t="s">
        <v>255</v>
      </c>
    </row>
    <row r="2" spans="1:10" x14ac:dyDescent="0.35">
      <c r="A2">
        <v>1</v>
      </c>
      <c r="B2">
        <v>3</v>
      </c>
      <c r="C2">
        <v>36</v>
      </c>
      <c r="D2">
        <v>36</v>
      </c>
      <c r="E2">
        <v>36</v>
      </c>
      <c r="G2">
        <v>36</v>
      </c>
      <c r="H2">
        <v>36</v>
      </c>
      <c r="I2">
        <v>36</v>
      </c>
      <c r="J2">
        <v>36</v>
      </c>
    </row>
    <row r="3" spans="1:10" x14ac:dyDescent="0.35">
      <c r="A3">
        <v>2</v>
      </c>
      <c r="B3">
        <v>3</v>
      </c>
      <c r="C3">
        <v>36</v>
      </c>
      <c r="D3">
        <v>36</v>
      </c>
      <c r="E3">
        <v>36</v>
      </c>
      <c r="G3">
        <v>36</v>
      </c>
      <c r="H3">
        <v>36</v>
      </c>
      <c r="I3">
        <v>36</v>
      </c>
      <c r="J3">
        <v>36</v>
      </c>
    </row>
    <row r="4" spans="1:10" x14ac:dyDescent="0.35">
      <c r="A4">
        <v>3</v>
      </c>
      <c r="B4">
        <v>3</v>
      </c>
      <c r="C4">
        <v>33</v>
      </c>
      <c r="D4">
        <v>33</v>
      </c>
      <c r="E4">
        <v>33</v>
      </c>
      <c r="G4">
        <v>31</v>
      </c>
      <c r="H4">
        <v>33</v>
      </c>
      <c r="I4">
        <v>33</v>
      </c>
      <c r="J4">
        <v>33</v>
      </c>
    </row>
    <row r="5" spans="1:10" x14ac:dyDescent="0.35">
      <c r="A5">
        <v>4</v>
      </c>
      <c r="B5">
        <v>3</v>
      </c>
      <c r="C5">
        <v>36</v>
      </c>
      <c r="D5">
        <v>36</v>
      </c>
      <c r="E5">
        <v>36</v>
      </c>
      <c r="G5">
        <v>33</v>
      </c>
      <c r="H5">
        <v>26</v>
      </c>
      <c r="I5">
        <v>36</v>
      </c>
      <c r="J5">
        <v>36</v>
      </c>
    </row>
    <row r="6" spans="1:10" x14ac:dyDescent="0.35">
      <c r="A6">
        <v>5</v>
      </c>
      <c r="B6">
        <v>3</v>
      </c>
      <c r="C6">
        <v>34</v>
      </c>
      <c r="D6">
        <v>34</v>
      </c>
      <c r="E6">
        <v>34</v>
      </c>
      <c r="G6">
        <v>34</v>
      </c>
      <c r="H6">
        <v>34</v>
      </c>
      <c r="I6">
        <v>34</v>
      </c>
      <c r="J6">
        <v>34</v>
      </c>
    </row>
    <row r="7" spans="1:10" x14ac:dyDescent="0.35">
      <c r="A7">
        <v>6</v>
      </c>
      <c r="B7">
        <v>3</v>
      </c>
      <c r="C7">
        <v>36</v>
      </c>
      <c r="D7">
        <v>36</v>
      </c>
      <c r="E7">
        <v>36</v>
      </c>
      <c r="G7">
        <v>36</v>
      </c>
      <c r="H7">
        <v>36</v>
      </c>
      <c r="I7">
        <v>36</v>
      </c>
      <c r="J7">
        <v>36</v>
      </c>
    </row>
    <row r="8" spans="1:10" x14ac:dyDescent="0.35">
      <c r="A8">
        <v>7</v>
      </c>
      <c r="B8">
        <v>3</v>
      </c>
      <c r="C8">
        <v>34</v>
      </c>
      <c r="D8">
        <v>34</v>
      </c>
      <c r="E8">
        <v>34</v>
      </c>
      <c r="G8">
        <v>29</v>
      </c>
      <c r="H8">
        <v>34</v>
      </c>
      <c r="I8">
        <v>34</v>
      </c>
      <c r="J8">
        <v>34</v>
      </c>
    </row>
    <row r="9" spans="1:10" x14ac:dyDescent="0.35">
      <c r="A9">
        <v>8</v>
      </c>
      <c r="B9">
        <v>3</v>
      </c>
      <c r="C9">
        <v>33</v>
      </c>
      <c r="D9">
        <v>33</v>
      </c>
      <c r="E9">
        <v>33</v>
      </c>
      <c r="G9">
        <v>31</v>
      </c>
      <c r="H9">
        <v>33</v>
      </c>
      <c r="I9">
        <v>33</v>
      </c>
      <c r="J9">
        <v>33</v>
      </c>
    </row>
    <row r="10" spans="1:10" x14ac:dyDescent="0.35">
      <c r="A10">
        <v>9</v>
      </c>
      <c r="B10">
        <v>3</v>
      </c>
      <c r="C10">
        <v>33</v>
      </c>
      <c r="D10">
        <v>33</v>
      </c>
      <c r="E10">
        <v>33</v>
      </c>
      <c r="G10">
        <v>29</v>
      </c>
      <c r="H10">
        <v>32</v>
      </c>
      <c r="I10">
        <v>32</v>
      </c>
      <c r="J10">
        <v>32</v>
      </c>
    </row>
    <row r="11" spans="1:10" x14ac:dyDescent="0.35">
      <c r="A11">
        <v>10</v>
      </c>
      <c r="B11">
        <v>3</v>
      </c>
      <c r="C11">
        <v>36</v>
      </c>
      <c r="D11">
        <v>36</v>
      </c>
      <c r="E11">
        <v>36</v>
      </c>
      <c r="G11">
        <v>35</v>
      </c>
      <c r="H11">
        <v>36</v>
      </c>
      <c r="I11">
        <v>36</v>
      </c>
      <c r="J11">
        <v>36</v>
      </c>
    </row>
    <row r="12" spans="1:10" x14ac:dyDescent="0.35">
      <c r="A12">
        <v>11</v>
      </c>
      <c r="B12">
        <v>4</v>
      </c>
      <c r="C12">
        <v>33</v>
      </c>
      <c r="D12">
        <v>33</v>
      </c>
      <c r="E12">
        <v>33</v>
      </c>
      <c r="G12">
        <v>33</v>
      </c>
      <c r="H12">
        <v>33</v>
      </c>
      <c r="I12">
        <v>33</v>
      </c>
      <c r="J12">
        <v>33</v>
      </c>
    </row>
    <row r="13" spans="1:10" x14ac:dyDescent="0.35">
      <c r="A13">
        <v>12</v>
      </c>
      <c r="B13">
        <v>4</v>
      </c>
      <c r="D13">
        <v>38</v>
      </c>
      <c r="E13">
        <v>38</v>
      </c>
      <c r="G13">
        <v>36</v>
      </c>
      <c r="H13">
        <v>28</v>
      </c>
      <c r="I13">
        <v>37</v>
      </c>
      <c r="J13">
        <v>38</v>
      </c>
    </row>
    <row r="14" spans="1:10" x14ac:dyDescent="0.35">
      <c r="A14">
        <v>13</v>
      </c>
      <c r="B14">
        <v>4</v>
      </c>
      <c r="C14">
        <v>32</v>
      </c>
      <c r="D14">
        <v>31.999999999999901</v>
      </c>
      <c r="E14">
        <v>32</v>
      </c>
      <c r="G14">
        <v>31</v>
      </c>
      <c r="H14">
        <v>31</v>
      </c>
      <c r="I14">
        <v>32</v>
      </c>
      <c r="J14">
        <v>32</v>
      </c>
    </row>
    <row r="15" spans="1:10" x14ac:dyDescent="0.35">
      <c r="A15">
        <v>14</v>
      </c>
      <c r="B15">
        <v>4</v>
      </c>
      <c r="C15">
        <v>35</v>
      </c>
      <c r="D15">
        <v>35</v>
      </c>
      <c r="E15">
        <v>35</v>
      </c>
      <c r="G15">
        <v>34</v>
      </c>
      <c r="H15">
        <v>35</v>
      </c>
      <c r="I15">
        <v>35</v>
      </c>
      <c r="J15">
        <v>35</v>
      </c>
    </row>
    <row r="16" spans="1:10" x14ac:dyDescent="0.35">
      <c r="A16">
        <v>15</v>
      </c>
      <c r="B16">
        <v>4</v>
      </c>
      <c r="C16">
        <v>38</v>
      </c>
      <c r="D16">
        <v>38</v>
      </c>
      <c r="E16">
        <v>38</v>
      </c>
      <c r="G16">
        <v>37</v>
      </c>
      <c r="H16">
        <v>33</v>
      </c>
      <c r="I16">
        <v>38</v>
      </c>
      <c r="J16">
        <v>38</v>
      </c>
    </row>
    <row r="17" spans="1:10" x14ac:dyDescent="0.35">
      <c r="A17">
        <v>16</v>
      </c>
      <c r="B17">
        <v>4</v>
      </c>
      <c r="C17">
        <v>36</v>
      </c>
      <c r="D17">
        <v>36</v>
      </c>
      <c r="E17">
        <v>36</v>
      </c>
      <c r="G17">
        <v>36</v>
      </c>
      <c r="H17">
        <v>36</v>
      </c>
      <c r="I17">
        <v>36</v>
      </c>
      <c r="J17">
        <v>36</v>
      </c>
    </row>
    <row r="18" spans="1:10" x14ac:dyDescent="0.35">
      <c r="A18">
        <v>17</v>
      </c>
      <c r="B18">
        <v>4</v>
      </c>
      <c r="D18">
        <v>39</v>
      </c>
      <c r="E18">
        <v>39</v>
      </c>
      <c r="F18">
        <v>39</v>
      </c>
      <c r="G18">
        <v>39</v>
      </c>
      <c r="H18">
        <v>39</v>
      </c>
      <c r="I18">
        <v>39</v>
      </c>
      <c r="J18">
        <v>39</v>
      </c>
    </row>
    <row r="19" spans="1:10" x14ac:dyDescent="0.35">
      <c r="A19">
        <v>18</v>
      </c>
      <c r="B19">
        <v>4</v>
      </c>
      <c r="C19">
        <v>37</v>
      </c>
      <c r="D19">
        <v>37</v>
      </c>
      <c r="E19">
        <v>37</v>
      </c>
      <c r="G19">
        <v>36</v>
      </c>
      <c r="H19">
        <v>26</v>
      </c>
      <c r="I19">
        <v>37</v>
      </c>
      <c r="J19">
        <v>37</v>
      </c>
    </row>
    <row r="20" spans="1:10" x14ac:dyDescent="0.35">
      <c r="A20">
        <v>19</v>
      </c>
      <c r="B20">
        <v>4</v>
      </c>
      <c r="C20">
        <v>35</v>
      </c>
      <c r="D20">
        <v>35</v>
      </c>
      <c r="E20">
        <v>35</v>
      </c>
      <c r="G20">
        <v>34</v>
      </c>
      <c r="H20">
        <v>35</v>
      </c>
      <c r="I20">
        <v>35</v>
      </c>
      <c r="J20">
        <v>35</v>
      </c>
    </row>
    <row r="21" spans="1:10" x14ac:dyDescent="0.35">
      <c r="A21">
        <v>20</v>
      </c>
      <c r="B21">
        <v>4</v>
      </c>
      <c r="C21">
        <v>29</v>
      </c>
      <c r="D21">
        <v>29</v>
      </c>
      <c r="E21">
        <v>29</v>
      </c>
      <c r="G21">
        <v>28</v>
      </c>
      <c r="H21">
        <v>28</v>
      </c>
      <c r="I21">
        <v>28</v>
      </c>
      <c r="J21">
        <v>28</v>
      </c>
    </row>
    <row r="22" spans="1:10" x14ac:dyDescent="0.35">
      <c r="A22">
        <v>21</v>
      </c>
      <c r="B22">
        <v>5</v>
      </c>
      <c r="C22">
        <v>31</v>
      </c>
      <c r="D22">
        <v>31</v>
      </c>
      <c r="E22">
        <v>31</v>
      </c>
      <c r="G22">
        <v>29</v>
      </c>
      <c r="H22">
        <v>31</v>
      </c>
      <c r="I22">
        <v>31</v>
      </c>
      <c r="J22">
        <v>31</v>
      </c>
    </row>
    <row r="23" spans="1:10" x14ac:dyDescent="0.35">
      <c r="A23">
        <v>22</v>
      </c>
      <c r="B23">
        <v>5</v>
      </c>
      <c r="C23">
        <v>38</v>
      </c>
      <c r="D23">
        <v>38</v>
      </c>
      <c r="E23">
        <v>38</v>
      </c>
      <c r="G23">
        <v>36</v>
      </c>
      <c r="H23">
        <v>37</v>
      </c>
      <c r="I23">
        <v>37</v>
      </c>
      <c r="J23">
        <v>38</v>
      </c>
    </row>
    <row r="24" spans="1:10" x14ac:dyDescent="0.35">
      <c r="A24">
        <v>23</v>
      </c>
      <c r="B24">
        <v>5</v>
      </c>
      <c r="C24">
        <v>38</v>
      </c>
      <c r="D24">
        <v>38</v>
      </c>
      <c r="E24">
        <v>38</v>
      </c>
      <c r="G24">
        <v>35</v>
      </c>
      <c r="H24">
        <v>38</v>
      </c>
      <c r="I24">
        <v>36</v>
      </c>
      <c r="J24">
        <v>38</v>
      </c>
    </row>
    <row r="25" spans="1:10" x14ac:dyDescent="0.35">
      <c r="A25">
        <v>24</v>
      </c>
      <c r="B25">
        <v>5</v>
      </c>
      <c r="C25">
        <v>34</v>
      </c>
      <c r="D25">
        <v>34</v>
      </c>
      <c r="E25">
        <v>34</v>
      </c>
      <c r="G25">
        <v>31</v>
      </c>
      <c r="H25">
        <v>24</v>
      </c>
      <c r="I25">
        <v>34</v>
      </c>
      <c r="J25">
        <v>34</v>
      </c>
    </row>
    <row r="26" spans="1:10" x14ac:dyDescent="0.35">
      <c r="A26">
        <v>25</v>
      </c>
      <c r="B26">
        <v>5</v>
      </c>
      <c r="C26">
        <v>34</v>
      </c>
      <c r="D26">
        <v>34</v>
      </c>
      <c r="E26">
        <v>34</v>
      </c>
      <c r="F26">
        <v>34</v>
      </c>
      <c r="G26">
        <v>34</v>
      </c>
      <c r="H26">
        <v>34</v>
      </c>
      <c r="I26">
        <v>34</v>
      </c>
      <c r="J26">
        <v>34</v>
      </c>
    </row>
    <row r="27" spans="1:10" x14ac:dyDescent="0.35">
      <c r="A27">
        <v>26</v>
      </c>
      <c r="B27">
        <v>5</v>
      </c>
      <c r="C27">
        <v>38</v>
      </c>
      <c r="D27">
        <v>38</v>
      </c>
      <c r="E27">
        <v>38</v>
      </c>
      <c r="G27">
        <v>34</v>
      </c>
      <c r="H27">
        <v>37</v>
      </c>
      <c r="I27">
        <v>37</v>
      </c>
      <c r="J27">
        <v>38</v>
      </c>
    </row>
    <row r="28" spans="1:10" x14ac:dyDescent="0.35">
      <c r="A28">
        <v>27</v>
      </c>
      <c r="B28">
        <v>5</v>
      </c>
      <c r="C28">
        <v>36</v>
      </c>
      <c r="D28">
        <v>36</v>
      </c>
      <c r="E28">
        <v>36</v>
      </c>
      <c r="G28">
        <v>33</v>
      </c>
      <c r="H28">
        <v>35</v>
      </c>
      <c r="I28">
        <v>35</v>
      </c>
      <c r="J28">
        <v>35</v>
      </c>
    </row>
    <row r="29" spans="1:10" x14ac:dyDescent="0.35">
      <c r="A29">
        <v>28</v>
      </c>
      <c r="B29">
        <v>5</v>
      </c>
      <c r="C29">
        <v>33</v>
      </c>
      <c r="D29">
        <v>33</v>
      </c>
      <c r="E29">
        <v>33</v>
      </c>
      <c r="G29">
        <v>31</v>
      </c>
      <c r="H29">
        <v>33</v>
      </c>
      <c r="I29">
        <v>33</v>
      </c>
      <c r="J29">
        <v>33</v>
      </c>
    </row>
    <row r="30" spans="1:10" x14ac:dyDescent="0.35">
      <c r="A30">
        <v>29</v>
      </c>
      <c r="B30">
        <v>5</v>
      </c>
      <c r="C30">
        <v>33</v>
      </c>
      <c r="D30">
        <v>33</v>
      </c>
      <c r="E30">
        <v>33</v>
      </c>
      <c r="G30">
        <v>32</v>
      </c>
      <c r="H30">
        <v>32</v>
      </c>
      <c r="I30">
        <v>32</v>
      </c>
      <c r="J30">
        <v>33</v>
      </c>
    </row>
    <row r="31" spans="1:10" x14ac:dyDescent="0.35">
      <c r="A31">
        <v>30</v>
      </c>
      <c r="B31">
        <v>5</v>
      </c>
      <c r="C31">
        <v>32</v>
      </c>
      <c r="D31">
        <v>32</v>
      </c>
      <c r="E31">
        <v>32</v>
      </c>
      <c r="G31">
        <v>32</v>
      </c>
      <c r="H31">
        <v>32</v>
      </c>
      <c r="I31">
        <v>32</v>
      </c>
      <c r="J31">
        <v>32</v>
      </c>
    </row>
    <row r="32" spans="1:10" x14ac:dyDescent="0.35">
      <c r="A32">
        <v>31</v>
      </c>
      <c r="B32">
        <v>6</v>
      </c>
      <c r="C32">
        <v>38</v>
      </c>
      <c r="D32">
        <v>38</v>
      </c>
      <c r="E32">
        <v>38</v>
      </c>
      <c r="G32">
        <v>35</v>
      </c>
      <c r="H32">
        <v>38</v>
      </c>
      <c r="I32">
        <v>38</v>
      </c>
      <c r="J32">
        <v>38</v>
      </c>
    </row>
    <row r="33" spans="1:10" x14ac:dyDescent="0.35">
      <c r="A33">
        <v>32</v>
      </c>
      <c r="B33">
        <v>6</v>
      </c>
      <c r="C33">
        <v>34</v>
      </c>
      <c r="D33">
        <v>34</v>
      </c>
      <c r="E33">
        <v>34</v>
      </c>
      <c r="G33">
        <v>33</v>
      </c>
      <c r="H33">
        <v>18</v>
      </c>
      <c r="I33">
        <v>34</v>
      </c>
      <c r="J33">
        <v>34</v>
      </c>
    </row>
    <row r="34" spans="1:10" x14ac:dyDescent="0.35">
      <c r="A34">
        <v>33</v>
      </c>
      <c r="B34">
        <v>6</v>
      </c>
      <c r="C34">
        <v>33</v>
      </c>
      <c r="D34">
        <v>33</v>
      </c>
      <c r="E34">
        <v>33</v>
      </c>
      <c r="G34">
        <v>32</v>
      </c>
      <c r="H34">
        <v>32</v>
      </c>
      <c r="I34">
        <v>32</v>
      </c>
      <c r="J34">
        <v>33</v>
      </c>
    </row>
    <row r="35" spans="1:10" x14ac:dyDescent="0.35">
      <c r="A35">
        <v>34</v>
      </c>
      <c r="B35">
        <v>6</v>
      </c>
      <c r="C35">
        <v>34</v>
      </c>
      <c r="D35">
        <v>34</v>
      </c>
      <c r="E35">
        <v>34</v>
      </c>
      <c r="G35">
        <v>33</v>
      </c>
      <c r="H35">
        <v>34</v>
      </c>
      <c r="I35">
        <v>34</v>
      </c>
      <c r="J35">
        <v>34</v>
      </c>
    </row>
    <row r="36" spans="1:10" x14ac:dyDescent="0.35">
      <c r="A36">
        <v>35</v>
      </c>
      <c r="B36">
        <v>6</v>
      </c>
      <c r="C36">
        <v>26</v>
      </c>
      <c r="D36">
        <v>26</v>
      </c>
      <c r="E36">
        <v>26</v>
      </c>
      <c r="G36">
        <v>24</v>
      </c>
      <c r="H36">
        <v>24</v>
      </c>
      <c r="I36">
        <v>25</v>
      </c>
      <c r="J36">
        <v>25</v>
      </c>
    </row>
    <row r="37" spans="1:10" x14ac:dyDescent="0.35">
      <c r="A37">
        <v>36</v>
      </c>
      <c r="B37">
        <v>6</v>
      </c>
      <c r="C37">
        <v>31</v>
      </c>
      <c r="D37">
        <v>31</v>
      </c>
      <c r="E37">
        <v>31</v>
      </c>
      <c r="G37">
        <v>31</v>
      </c>
      <c r="H37">
        <v>31</v>
      </c>
      <c r="I37">
        <v>31</v>
      </c>
      <c r="J37">
        <v>31</v>
      </c>
    </row>
    <row r="38" spans="1:10" x14ac:dyDescent="0.35">
      <c r="A38">
        <v>37</v>
      </c>
      <c r="B38">
        <v>6</v>
      </c>
      <c r="C38">
        <v>31</v>
      </c>
      <c r="D38">
        <v>31</v>
      </c>
      <c r="E38">
        <v>31</v>
      </c>
      <c r="G38">
        <v>26</v>
      </c>
      <c r="H38">
        <v>31</v>
      </c>
      <c r="I38">
        <v>31</v>
      </c>
      <c r="J38">
        <v>31</v>
      </c>
    </row>
    <row r="39" spans="1:10" x14ac:dyDescent="0.35">
      <c r="A39">
        <v>38</v>
      </c>
      <c r="B39">
        <v>6</v>
      </c>
      <c r="C39">
        <v>25</v>
      </c>
      <c r="D39">
        <v>25</v>
      </c>
      <c r="E39">
        <v>25</v>
      </c>
      <c r="G39">
        <v>14</v>
      </c>
      <c r="H39">
        <v>25</v>
      </c>
      <c r="I39">
        <v>25</v>
      </c>
      <c r="J39">
        <v>25</v>
      </c>
    </row>
    <row r="40" spans="1:10" x14ac:dyDescent="0.35">
      <c r="A40">
        <v>39</v>
      </c>
      <c r="B40">
        <v>6</v>
      </c>
      <c r="C40">
        <v>29</v>
      </c>
      <c r="D40">
        <v>29</v>
      </c>
      <c r="E40">
        <v>29</v>
      </c>
      <c r="G40">
        <v>29</v>
      </c>
      <c r="H40">
        <v>29</v>
      </c>
      <c r="I40">
        <v>29</v>
      </c>
      <c r="J40">
        <v>29</v>
      </c>
    </row>
    <row r="41" spans="1:10" x14ac:dyDescent="0.35">
      <c r="A41">
        <v>40</v>
      </c>
      <c r="B41">
        <v>6</v>
      </c>
      <c r="C41">
        <v>33</v>
      </c>
      <c r="D41">
        <v>33</v>
      </c>
      <c r="E41">
        <v>33</v>
      </c>
      <c r="G41">
        <v>30</v>
      </c>
      <c r="H41">
        <v>32</v>
      </c>
      <c r="I41">
        <v>32</v>
      </c>
      <c r="J41">
        <v>33</v>
      </c>
    </row>
    <row r="42" spans="1:10" x14ac:dyDescent="0.35">
      <c r="A42">
        <v>41</v>
      </c>
      <c r="B42">
        <v>7</v>
      </c>
      <c r="C42">
        <v>28</v>
      </c>
      <c r="D42">
        <v>28</v>
      </c>
      <c r="E42">
        <v>28</v>
      </c>
      <c r="G42">
        <v>26</v>
      </c>
      <c r="H42">
        <v>27</v>
      </c>
      <c r="I42">
        <v>27</v>
      </c>
      <c r="J42">
        <v>27</v>
      </c>
    </row>
    <row r="43" spans="1:10" x14ac:dyDescent="0.35">
      <c r="A43">
        <v>42</v>
      </c>
      <c r="B43">
        <v>7</v>
      </c>
      <c r="C43">
        <v>35</v>
      </c>
      <c r="D43">
        <v>35</v>
      </c>
      <c r="E43">
        <v>35</v>
      </c>
      <c r="G43">
        <v>32</v>
      </c>
      <c r="H43">
        <v>34</v>
      </c>
      <c r="I43">
        <v>33</v>
      </c>
      <c r="J43">
        <v>34</v>
      </c>
    </row>
    <row r="44" spans="1:10" x14ac:dyDescent="0.35">
      <c r="A44">
        <v>43</v>
      </c>
      <c r="B44">
        <v>7</v>
      </c>
      <c r="C44">
        <v>33</v>
      </c>
      <c r="D44">
        <v>33</v>
      </c>
      <c r="E44">
        <v>33</v>
      </c>
      <c r="G44">
        <v>30</v>
      </c>
      <c r="H44">
        <v>32</v>
      </c>
      <c r="I44">
        <v>32</v>
      </c>
      <c r="J44">
        <v>33</v>
      </c>
    </row>
    <row r="45" spans="1:10" x14ac:dyDescent="0.35">
      <c r="A45">
        <v>44</v>
      </c>
      <c r="B45">
        <v>7</v>
      </c>
      <c r="C45">
        <v>32</v>
      </c>
      <c r="D45">
        <v>32</v>
      </c>
      <c r="E45">
        <v>32</v>
      </c>
      <c r="G45">
        <v>32</v>
      </c>
      <c r="H45">
        <v>32</v>
      </c>
      <c r="I45">
        <v>32</v>
      </c>
      <c r="J45">
        <v>32</v>
      </c>
    </row>
    <row r="46" spans="1:10" x14ac:dyDescent="0.35">
      <c r="A46">
        <v>45</v>
      </c>
      <c r="B46">
        <v>7</v>
      </c>
      <c r="C46">
        <v>29</v>
      </c>
      <c r="D46">
        <v>29</v>
      </c>
      <c r="E46">
        <v>29</v>
      </c>
      <c r="G46">
        <v>24</v>
      </c>
      <c r="H46">
        <v>29</v>
      </c>
      <c r="I46">
        <v>29</v>
      </c>
      <c r="J46">
        <v>29</v>
      </c>
    </row>
    <row r="47" spans="1:10" x14ac:dyDescent="0.35">
      <c r="A47">
        <v>46</v>
      </c>
      <c r="B47">
        <v>7</v>
      </c>
      <c r="C47">
        <v>35</v>
      </c>
      <c r="D47">
        <v>35</v>
      </c>
      <c r="E47">
        <v>35</v>
      </c>
      <c r="G47">
        <v>33</v>
      </c>
      <c r="H47">
        <v>33</v>
      </c>
      <c r="I47">
        <v>35</v>
      </c>
      <c r="J47">
        <v>35</v>
      </c>
    </row>
    <row r="48" spans="1:10" x14ac:dyDescent="0.35">
      <c r="A48">
        <v>47</v>
      </c>
      <c r="B48">
        <v>7</v>
      </c>
      <c r="C48">
        <v>32</v>
      </c>
      <c r="D48">
        <v>32</v>
      </c>
      <c r="E48">
        <v>32</v>
      </c>
      <c r="G48">
        <v>31</v>
      </c>
      <c r="H48">
        <v>32</v>
      </c>
      <c r="I48">
        <v>32</v>
      </c>
      <c r="J48">
        <v>32</v>
      </c>
    </row>
    <row r="49" spans="1:10" x14ac:dyDescent="0.35">
      <c r="A49">
        <v>48</v>
      </c>
      <c r="B49">
        <v>7</v>
      </c>
      <c r="C49">
        <v>23</v>
      </c>
      <c r="D49">
        <v>23</v>
      </c>
      <c r="E49">
        <v>23</v>
      </c>
      <c r="G49">
        <v>19</v>
      </c>
      <c r="H49">
        <v>23</v>
      </c>
      <c r="I49">
        <v>23</v>
      </c>
      <c r="J49">
        <v>23</v>
      </c>
    </row>
    <row r="50" spans="1:10" x14ac:dyDescent="0.35">
      <c r="A50">
        <v>49</v>
      </c>
      <c r="B50">
        <v>7</v>
      </c>
      <c r="C50">
        <v>25</v>
      </c>
      <c r="D50">
        <v>25</v>
      </c>
      <c r="E50">
        <v>25</v>
      </c>
      <c r="G50">
        <v>19</v>
      </c>
      <c r="H50">
        <v>25</v>
      </c>
      <c r="I50">
        <v>25</v>
      </c>
      <c r="J50">
        <v>25</v>
      </c>
    </row>
    <row r="51" spans="1:10" x14ac:dyDescent="0.35">
      <c r="A51">
        <v>50</v>
      </c>
      <c r="B51">
        <v>7</v>
      </c>
      <c r="C51">
        <v>31</v>
      </c>
      <c r="D51">
        <v>31</v>
      </c>
      <c r="E51">
        <v>31</v>
      </c>
      <c r="G51">
        <v>29</v>
      </c>
      <c r="H51">
        <v>31</v>
      </c>
      <c r="I51">
        <v>31</v>
      </c>
      <c r="J51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FF7C-78DF-4F44-91A2-C4452CAEBB34}">
  <dimension ref="A1:J51"/>
  <sheetViews>
    <sheetView workbookViewId="0">
      <selection activeCell="M22" sqref="M22"/>
    </sheetView>
  </sheetViews>
  <sheetFormatPr defaultRowHeight="14.5" x14ac:dyDescent="0.35"/>
  <cols>
    <col min="1" max="2" width="13.54296875" customWidth="1"/>
    <col min="3" max="3" width="13.81640625" customWidth="1"/>
    <col min="4" max="4" width="15.453125" customWidth="1"/>
    <col min="5" max="5" width="14" bestFit="1" customWidth="1"/>
    <col min="6" max="6" width="17.1796875" customWidth="1"/>
    <col min="7" max="7" width="17.7265625" customWidth="1"/>
    <col min="8" max="10" width="16.54296875" customWidth="1"/>
  </cols>
  <sheetData>
    <row r="1" spans="1:10" x14ac:dyDescent="0.35">
      <c r="A1" t="s">
        <v>0</v>
      </c>
      <c r="B1" t="s">
        <v>232</v>
      </c>
      <c r="C1" t="s">
        <v>1</v>
      </c>
      <c r="D1" t="s">
        <v>4</v>
      </c>
      <c r="E1" t="s">
        <v>271</v>
      </c>
      <c r="F1" t="s">
        <v>7</v>
      </c>
      <c r="G1" t="s">
        <v>10</v>
      </c>
      <c r="H1" t="s">
        <v>209</v>
      </c>
      <c r="I1" t="s">
        <v>234</v>
      </c>
      <c r="J1" t="s">
        <v>254</v>
      </c>
    </row>
    <row r="2" spans="1:10" x14ac:dyDescent="0.35">
      <c r="A2">
        <v>1</v>
      </c>
      <c r="B2">
        <v>3</v>
      </c>
      <c r="C2">
        <v>41355.2283542156</v>
      </c>
      <c r="D2">
        <v>60.771632432937601</v>
      </c>
      <c r="E2">
        <v>270.91339325904801</v>
      </c>
      <c r="F2">
        <v>86400.129969119997</v>
      </c>
      <c r="G2">
        <v>5.8391094207763602E-3</v>
      </c>
      <c r="H2">
        <v>8.6160457999994805E-2</v>
      </c>
      <c r="I2">
        <v>0.77138975100024199</v>
      </c>
      <c r="J2">
        <v>2.9789236259994101</v>
      </c>
    </row>
    <row r="3" spans="1:10" x14ac:dyDescent="0.35">
      <c r="A3">
        <v>2</v>
      </c>
      <c r="B3">
        <v>3</v>
      </c>
      <c r="C3">
        <v>43866.964335918397</v>
      </c>
      <c r="D3">
        <v>57.756932735443101</v>
      </c>
      <c r="E3">
        <v>187.91967535018901</v>
      </c>
      <c r="F3">
        <v>86400.254833221406</v>
      </c>
      <c r="G3">
        <v>4.7655105590820304E-3</v>
      </c>
      <c r="H3">
        <v>8.6154125000120901E-2</v>
      </c>
      <c r="I3">
        <v>1.08466354199936</v>
      </c>
      <c r="J3">
        <v>3.1687015020006499</v>
      </c>
    </row>
    <row r="4" spans="1:10" x14ac:dyDescent="0.35">
      <c r="A4">
        <v>3</v>
      </c>
      <c r="B4">
        <v>3</v>
      </c>
      <c r="C4">
        <v>453.44278931617703</v>
      </c>
      <c r="D4">
        <v>47.695116281509399</v>
      </c>
      <c r="E4">
        <v>196.83315134048399</v>
      </c>
      <c r="F4">
        <v>86400.139185190201</v>
      </c>
      <c r="G4">
        <v>5.6414604187011701E-3</v>
      </c>
      <c r="H4">
        <v>0.14114279199975499</v>
      </c>
      <c r="I4">
        <v>0.39363883399983002</v>
      </c>
      <c r="J4">
        <v>2.1978573339993002</v>
      </c>
    </row>
    <row r="5" spans="1:10" x14ac:dyDescent="0.35">
      <c r="A5">
        <v>4</v>
      </c>
      <c r="B5">
        <v>3</v>
      </c>
      <c r="C5">
        <v>396.46075916290198</v>
      </c>
      <c r="D5">
        <v>51.4951264858245</v>
      </c>
      <c r="E5">
        <v>215.09952902793799</v>
      </c>
      <c r="F5">
        <v>86400.1290633678</v>
      </c>
      <c r="G5">
        <v>5.5739879608154297E-3</v>
      </c>
      <c r="H5">
        <v>0.19206783400022601</v>
      </c>
      <c r="I5">
        <v>0.43922858400037501</v>
      </c>
      <c r="J5">
        <v>1.8165461259995901</v>
      </c>
    </row>
    <row r="6" spans="1:10" x14ac:dyDescent="0.35">
      <c r="A6">
        <v>5</v>
      </c>
      <c r="B6">
        <v>3</v>
      </c>
      <c r="C6">
        <v>4296.8034508228302</v>
      </c>
      <c r="D6">
        <v>44.4875199794769</v>
      </c>
      <c r="E6">
        <v>188.74511742591801</v>
      </c>
      <c r="F6">
        <v>86400.489632844896</v>
      </c>
      <c r="G6">
        <v>5.0759315490722604E-3</v>
      </c>
      <c r="H6">
        <v>0.110329999999976</v>
      </c>
      <c r="I6">
        <v>0.43649625000034498</v>
      </c>
      <c r="J6">
        <v>1.4178213759996601</v>
      </c>
    </row>
    <row r="7" spans="1:10" x14ac:dyDescent="0.35">
      <c r="A7">
        <v>6</v>
      </c>
      <c r="B7">
        <v>3</v>
      </c>
      <c r="C7">
        <v>2946.5776097774501</v>
      </c>
      <c r="D7">
        <v>45.887658596038797</v>
      </c>
      <c r="E7">
        <v>111.08167362213101</v>
      </c>
      <c r="F7">
        <v>86400.133324861497</v>
      </c>
      <c r="G7">
        <v>4.7135353088378898E-3</v>
      </c>
      <c r="H7">
        <v>0.22504466700001999</v>
      </c>
      <c r="I7">
        <v>1.8452987929995199</v>
      </c>
      <c r="J7">
        <v>5.5470325030000804</v>
      </c>
    </row>
    <row r="8" spans="1:10" x14ac:dyDescent="0.35">
      <c r="A8">
        <v>7</v>
      </c>
      <c r="B8">
        <v>3</v>
      </c>
      <c r="C8">
        <v>1297.5956439971901</v>
      </c>
      <c r="D8">
        <v>77.707883358001695</v>
      </c>
      <c r="E8">
        <v>256.97025418281498</v>
      </c>
      <c r="F8">
        <v>86400.128589868502</v>
      </c>
      <c r="G8">
        <v>5.3551197052001901E-3</v>
      </c>
      <c r="H8">
        <v>0.157853499999873</v>
      </c>
      <c r="I8">
        <v>0.87887870899976395</v>
      </c>
      <c r="J8">
        <v>2.4873180009999398</v>
      </c>
    </row>
    <row r="9" spans="1:10" x14ac:dyDescent="0.35">
      <c r="A9">
        <v>8</v>
      </c>
      <c r="B9">
        <v>3</v>
      </c>
      <c r="C9">
        <v>362.63930082321099</v>
      </c>
      <c r="D9">
        <v>78.8139390945434</v>
      </c>
      <c r="E9">
        <v>297.10240054130497</v>
      </c>
      <c r="F9">
        <v>86400.132736921296</v>
      </c>
      <c r="G9">
        <v>4.8964023590087804E-3</v>
      </c>
      <c r="H9">
        <v>0.16448504199979599</v>
      </c>
      <c r="I9">
        <v>0.51000645900057795</v>
      </c>
      <c r="J9">
        <v>1.67395616799967</v>
      </c>
    </row>
    <row r="10" spans="1:10" x14ac:dyDescent="0.35">
      <c r="A10">
        <v>9</v>
      </c>
      <c r="B10">
        <v>3</v>
      </c>
      <c r="C10">
        <v>471.46557950973499</v>
      </c>
      <c r="D10">
        <v>77.797639846801701</v>
      </c>
      <c r="E10">
        <v>244.49754166603</v>
      </c>
      <c r="F10">
        <v>86400.1265144348</v>
      </c>
      <c r="G10">
        <v>4.8739910125732396E-3</v>
      </c>
      <c r="H10">
        <v>0.184896415999901</v>
      </c>
      <c r="I10">
        <v>0.99781641700064905</v>
      </c>
      <c r="J10">
        <v>3.3030031670004898</v>
      </c>
    </row>
    <row r="11" spans="1:10" x14ac:dyDescent="0.35">
      <c r="A11">
        <v>10</v>
      </c>
      <c r="B11">
        <v>3</v>
      </c>
      <c r="C11">
        <v>434.91103124618502</v>
      </c>
      <c r="D11">
        <v>51.784494161605799</v>
      </c>
      <c r="E11">
        <v>268.26836252212502</v>
      </c>
      <c r="F11">
        <v>86400.137657165498</v>
      </c>
      <c r="G11">
        <v>5.3925514221191398E-3</v>
      </c>
      <c r="H11">
        <v>0.129812333000245</v>
      </c>
      <c r="I11">
        <v>1.0161245420003899</v>
      </c>
      <c r="J11">
        <v>2.1120852509993702</v>
      </c>
    </row>
    <row r="12" spans="1:10" x14ac:dyDescent="0.35">
      <c r="A12">
        <v>11</v>
      </c>
      <c r="B12">
        <v>4</v>
      </c>
      <c r="C12">
        <v>236.19271969795199</v>
      </c>
      <c r="D12">
        <v>51.336097240447998</v>
      </c>
      <c r="E12">
        <v>230.964210748672</v>
      </c>
      <c r="F12">
        <v>86400.596881627993</v>
      </c>
      <c r="G12">
        <v>4.2402744293212804E-3</v>
      </c>
      <c r="H12">
        <v>0.109177917000124</v>
      </c>
      <c r="I12">
        <v>0.46063137500004803</v>
      </c>
      <c r="J12">
        <v>1.8838435839998</v>
      </c>
    </row>
    <row r="13" spans="1:10" x14ac:dyDescent="0.35">
      <c r="A13">
        <v>12</v>
      </c>
      <c r="B13">
        <v>4</v>
      </c>
      <c r="C13">
        <v>86400.874973535494</v>
      </c>
      <c r="D13">
        <v>70.089067459106403</v>
      </c>
      <c r="E13">
        <v>230.956568717956</v>
      </c>
      <c r="F13">
        <v>86400.140295505495</v>
      </c>
      <c r="G13">
        <v>5.2533149719238203E-3</v>
      </c>
      <c r="H13">
        <v>0.360892499999863</v>
      </c>
      <c r="I13">
        <v>1.00651333400037</v>
      </c>
      <c r="J13">
        <v>3.8565233350000199</v>
      </c>
    </row>
    <row r="14" spans="1:10" x14ac:dyDescent="0.35">
      <c r="A14">
        <v>13</v>
      </c>
      <c r="B14">
        <v>4</v>
      </c>
      <c r="C14">
        <v>58.451675891876199</v>
      </c>
      <c r="D14">
        <v>22.211640119552602</v>
      </c>
      <c r="E14">
        <v>173.92218637466399</v>
      </c>
      <c r="F14">
        <v>86400.126599073395</v>
      </c>
      <c r="G14">
        <v>4.5175552368164002E-3</v>
      </c>
      <c r="H14">
        <v>0.16163216699987901</v>
      </c>
      <c r="I14">
        <v>0.70187862500006304</v>
      </c>
      <c r="J14">
        <v>1.63539791699986</v>
      </c>
    </row>
    <row r="15" spans="1:10" x14ac:dyDescent="0.35">
      <c r="A15">
        <v>14</v>
      </c>
      <c r="B15">
        <v>4</v>
      </c>
      <c r="C15">
        <v>850.74028325080803</v>
      </c>
      <c r="D15">
        <v>88.225219011306706</v>
      </c>
      <c r="E15">
        <v>341.805687904357</v>
      </c>
      <c r="F15">
        <v>86400.125456094698</v>
      </c>
      <c r="G15">
        <v>5.1207542419433498E-3</v>
      </c>
      <c r="H15">
        <v>0.13082475000010099</v>
      </c>
      <c r="I15">
        <v>0.81035420900025201</v>
      </c>
      <c r="J15">
        <v>3.97558945999935</v>
      </c>
    </row>
    <row r="16" spans="1:10" x14ac:dyDescent="0.35">
      <c r="A16">
        <v>15</v>
      </c>
      <c r="B16">
        <v>4</v>
      </c>
      <c r="C16">
        <v>847.00700283050503</v>
      </c>
      <c r="D16">
        <v>58.091557264328003</v>
      </c>
      <c r="E16">
        <v>197.25004124641401</v>
      </c>
      <c r="F16">
        <v>86400.126175403595</v>
      </c>
      <c r="G16">
        <v>5.2807331085205E-3</v>
      </c>
      <c r="H16">
        <v>0.22201533399993401</v>
      </c>
      <c r="I16">
        <v>1.1471546250004301</v>
      </c>
      <c r="J16">
        <v>3.39485687699925</v>
      </c>
    </row>
    <row r="17" spans="1:10" x14ac:dyDescent="0.35">
      <c r="A17">
        <v>16</v>
      </c>
      <c r="B17">
        <v>4</v>
      </c>
      <c r="C17">
        <v>1160.6931722164099</v>
      </c>
      <c r="D17">
        <v>60.158497571945098</v>
      </c>
      <c r="E17">
        <v>220.47335624694799</v>
      </c>
      <c r="F17">
        <v>86400.164609908999</v>
      </c>
      <c r="G17">
        <v>5.1751136779785104E-3</v>
      </c>
      <c r="H17">
        <v>0.101051209000161</v>
      </c>
      <c r="I17">
        <v>0.438611583000238</v>
      </c>
      <c r="J17">
        <v>1.18862187499962</v>
      </c>
    </row>
    <row r="18" spans="1:10" x14ac:dyDescent="0.35">
      <c r="A18">
        <v>17</v>
      </c>
      <c r="B18">
        <v>4</v>
      </c>
      <c r="C18">
        <v>86400.324173450397</v>
      </c>
      <c r="D18">
        <v>76.000017881393404</v>
      </c>
      <c r="E18">
        <v>132.477592945098</v>
      </c>
      <c r="F18">
        <v>47.098084926605203</v>
      </c>
      <c r="G18">
        <v>6.5302848815917899E-3</v>
      </c>
      <c r="H18">
        <v>0.147897666999597</v>
      </c>
      <c r="I18">
        <v>0.63420491699980597</v>
      </c>
      <c r="J18">
        <v>3.9922276269999202</v>
      </c>
    </row>
    <row r="19" spans="1:10" x14ac:dyDescent="0.35">
      <c r="A19">
        <v>18</v>
      </c>
      <c r="B19">
        <v>4</v>
      </c>
      <c r="C19">
        <v>78285.793434858293</v>
      </c>
      <c r="D19">
        <v>77.328538656234699</v>
      </c>
      <c r="E19">
        <v>224.450894832611</v>
      </c>
      <c r="F19">
        <v>86400.140725135803</v>
      </c>
      <c r="G19">
        <v>5.2385330200195304E-3</v>
      </c>
      <c r="H19">
        <v>0.32934462499997602</v>
      </c>
      <c r="I19">
        <v>1.09348520799994</v>
      </c>
      <c r="J19">
        <v>3.1117815429997702</v>
      </c>
    </row>
    <row r="20" spans="1:10" x14ac:dyDescent="0.35">
      <c r="A20">
        <v>19</v>
      </c>
      <c r="B20">
        <v>4</v>
      </c>
      <c r="C20">
        <v>6526.2341415882102</v>
      </c>
      <c r="D20">
        <v>64.794146537780705</v>
      </c>
      <c r="E20">
        <v>234.16041851043701</v>
      </c>
      <c r="F20">
        <v>86400.141325473698</v>
      </c>
      <c r="G20">
        <v>4.3635368347167899E-3</v>
      </c>
      <c r="H20">
        <v>0.195492166999883</v>
      </c>
      <c r="I20">
        <v>1.3690103760000001</v>
      </c>
      <c r="J20">
        <v>5.68862400299985</v>
      </c>
    </row>
    <row r="21" spans="1:10" x14ac:dyDescent="0.35">
      <c r="A21">
        <v>20</v>
      </c>
      <c r="B21">
        <v>4</v>
      </c>
      <c r="C21">
        <v>759.06535601615894</v>
      </c>
      <c r="D21">
        <v>912.31764340400696</v>
      </c>
      <c r="E21">
        <v>540.48723745346001</v>
      </c>
      <c r="F21">
        <v>86400.132619380907</v>
      </c>
      <c r="G21">
        <v>4.8832893371581997E-3</v>
      </c>
      <c r="H21">
        <v>0.10059033400011599</v>
      </c>
      <c r="I21">
        <v>0.36835916700056198</v>
      </c>
      <c r="J21">
        <v>0.92678079200049901</v>
      </c>
    </row>
    <row r="22" spans="1:10" x14ac:dyDescent="0.35">
      <c r="A22">
        <v>21</v>
      </c>
      <c r="B22">
        <v>5</v>
      </c>
      <c r="C22">
        <v>210.87740945816</v>
      </c>
      <c r="D22">
        <v>162.65208864211999</v>
      </c>
      <c r="E22">
        <v>318.648909568786</v>
      </c>
      <c r="F22">
        <v>86400.133867740602</v>
      </c>
      <c r="G22">
        <v>4.4388771057128898E-3</v>
      </c>
      <c r="H22">
        <v>0.109529583000039</v>
      </c>
      <c r="I22">
        <v>0.33714795800005898</v>
      </c>
      <c r="J22">
        <v>0.97163041700059605</v>
      </c>
    </row>
    <row r="23" spans="1:10" x14ac:dyDescent="0.35">
      <c r="A23">
        <v>22</v>
      </c>
      <c r="B23">
        <v>5</v>
      </c>
      <c r="C23">
        <v>7105.1666977405503</v>
      </c>
      <c r="D23">
        <v>57.698698759078901</v>
      </c>
      <c r="E23">
        <v>251.577482938766</v>
      </c>
      <c r="F23">
        <v>86400.135037422093</v>
      </c>
      <c r="G23">
        <v>5.1634311676025304E-3</v>
      </c>
      <c r="H23">
        <v>0.14005504099986801</v>
      </c>
      <c r="I23">
        <v>1.0972684180005601</v>
      </c>
      <c r="J23">
        <v>7.6424404210001704</v>
      </c>
    </row>
    <row r="24" spans="1:10" x14ac:dyDescent="0.35">
      <c r="A24">
        <v>23</v>
      </c>
      <c r="B24">
        <v>5</v>
      </c>
      <c r="C24">
        <v>729.35242557525601</v>
      </c>
      <c r="D24">
        <v>58.242346525192197</v>
      </c>
      <c r="E24">
        <v>291.66989302635102</v>
      </c>
      <c r="F24">
        <v>86400.160304784702</v>
      </c>
      <c r="G24">
        <v>5.1820278167724601E-3</v>
      </c>
      <c r="H24">
        <v>0.39884087499967702</v>
      </c>
      <c r="I24">
        <v>1.5459725010005001</v>
      </c>
      <c r="J24">
        <v>9.5797322550006303</v>
      </c>
    </row>
    <row r="25" spans="1:10" x14ac:dyDescent="0.35">
      <c r="A25">
        <v>24</v>
      </c>
      <c r="B25">
        <v>5</v>
      </c>
      <c r="C25">
        <v>158.90096259117101</v>
      </c>
      <c r="D25">
        <v>91.672548770904498</v>
      </c>
      <c r="E25">
        <v>319.44056868553099</v>
      </c>
      <c r="F25">
        <v>86400.131307125004</v>
      </c>
      <c r="G25">
        <v>5.7320594787597604E-3</v>
      </c>
      <c r="H25">
        <v>0.13351787500005199</v>
      </c>
      <c r="I25">
        <v>0.85035683399928497</v>
      </c>
      <c r="J25">
        <v>1.73933054200006</v>
      </c>
    </row>
    <row r="26" spans="1:10" x14ac:dyDescent="0.35">
      <c r="A26">
        <v>25</v>
      </c>
      <c r="B26">
        <v>5</v>
      </c>
      <c r="C26">
        <v>2010.4343097209901</v>
      </c>
      <c r="D26">
        <v>65.932975530624304</v>
      </c>
      <c r="E26">
        <v>297.85724782943697</v>
      </c>
      <c r="F26">
        <v>34203.160275936098</v>
      </c>
      <c r="G26">
        <v>4.5621395111083898E-3</v>
      </c>
      <c r="H26">
        <v>7.3529333999886107E-2</v>
      </c>
      <c r="I26">
        <v>0.52385645800040903</v>
      </c>
      <c r="J26">
        <v>1.1891566680005701</v>
      </c>
    </row>
    <row r="27" spans="1:10" x14ac:dyDescent="0.35">
      <c r="A27">
        <v>26</v>
      </c>
      <c r="B27">
        <v>5</v>
      </c>
      <c r="C27">
        <v>2330.9193391799899</v>
      </c>
      <c r="D27">
        <v>58.3836863040924</v>
      </c>
      <c r="E27">
        <v>181.586270332336</v>
      </c>
      <c r="F27">
        <v>86400.129125595093</v>
      </c>
      <c r="G27">
        <v>6.0391426086425703E-3</v>
      </c>
      <c r="H27">
        <v>0.162366374999692</v>
      </c>
      <c r="I27">
        <v>1.19237250100013</v>
      </c>
      <c r="J27">
        <v>5.5275429610001003</v>
      </c>
    </row>
    <row r="28" spans="1:10" x14ac:dyDescent="0.35">
      <c r="A28">
        <v>27</v>
      </c>
      <c r="B28">
        <v>5</v>
      </c>
      <c r="C28">
        <v>1175.05269384384</v>
      </c>
      <c r="D28">
        <v>141.49965786933899</v>
      </c>
      <c r="E28">
        <v>477.19279837608298</v>
      </c>
      <c r="F28">
        <v>86400.130617856907</v>
      </c>
      <c r="G28">
        <v>5.4810047149658203E-3</v>
      </c>
      <c r="H28">
        <v>0.10916200000019601</v>
      </c>
      <c r="I28">
        <v>0.79457316700063496</v>
      </c>
      <c r="J28">
        <v>3.4563811259995401</v>
      </c>
    </row>
    <row r="29" spans="1:10" x14ac:dyDescent="0.35">
      <c r="A29">
        <v>28</v>
      </c>
      <c r="B29">
        <v>5</v>
      </c>
      <c r="C29">
        <v>147.89943647384601</v>
      </c>
      <c r="D29">
        <v>59.577576637268002</v>
      </c>
      <c r="E29">
        <v>278.319145917892</v>
      </c>
      <c r="F29">
        <v>86400.134596109303</v>
      </c>
      <c r="G29">
        <v>4.8899650573730399E-3</v>
      </c>
      <c r="H29">
        <v>0.12346158399986901</v>
      </c>
      <c r="I29">
        <v>0.52061320800021305</v>
      </c>
      <c r="J29">
        <v>1.1719093760002499</v>
      </c>
    </row>
    <row r="30" spans="1:10" x14ac:dyDescent="0.35">
      <c r="A30">
        <v>29</v>
      </c>
      <c r="B30">
        <v>5</v>
      </c>
      <c r="C30">
        <v>5.8123471736907897</v>
      </c>
      <c r="D30">
        <v>87.840272665023804</v>
      </c>
      <c r="E30">
        <v>317.97413492202702</v>
      </c>
      <c r="F30">
        <v>86400.127450704502</v>
      </c>
      <c r="G30">
        <v>5.0079822540283203E-3</v>
      </c>
      <c r="H30">
        <v>0.123655457999575</v>
      </c>
      <c r="I30">
        <v>0.232836958000007</v>
      </c>
      <c r="J30">
        <v>0.96458545899986303</v>
      </c>
    </row>
    <row r="31" spans="1:10" x14ac:dyDescent="0.35">
      <c r="A31">
        <v>30</v>
      </c>
      <c r="B31">
        <v>5</v>
      </c>
      <c r="C31">
        <v>805.73928236961297</v>
      </c>
      <c r="D31">
        <v>58.891531467437702</v>
      </c>
      <c r="E31">
        <v>259.028136491775</v>
      </c>
      <c r="F31">
        <v>86400.1880934238</v>
      </c>
      <c r="G31">
        <v>4.7945976257324201E-3</v>
      </c>
      <c r="H31">
        <v>0.169992041000114</v>
      </c>
      <c r="I31">
        <v>0.700133125999855</v>
      </c>
      <c r="J31">
        <v>1.6987882510002199</v>
      </c>
    </row>
    <row r="32" spans="1:10" x14ac:dyDescent="0.35">
      <c r="A32">
        <v>31</v>
      </c>
      <c r="B32">
        <v>6</v>
      </c>
      <c r="C32">
        <v>1909.8805825710201</v>
      </c>
      <c r="D32">
        <v>52.664197683334301</v>
      </c>
      <c r="E32">
        <v>176.476865291595</v>
      </c>
      <c r="F32">
        <v>86400.145117759705</v>
      </c>
      <c r="G32">
        <v>6.1647891998290998E-3</v>
      </c>
      <c r="H32">
        <v>0.23984020799980499</v>
      </c>
      <c r="I32">
        <v>1.54557029199986</v>
      </c>
      <c r="J32">
        <v>10.299458254000401</v>
      </c>
    </row>
    <row r="33" spans="1:10" x14ac:dyDescent="0.35">
      <c r="A33">
        <v>32</v>
      </c>
      <c r="B33">
        <v>6</v>
      </c>
      <c r="C33">
        <v>907.86760544776905</v>
      </c>
      <c r="D33">
        <v>79.067918539047199</v>
      </c>
      <c r="E33">
        <v>293.41959142684902</v>
      </c>
      <c r="F33">
        <v>86400.082375526399</v>
      </c>
      <c r="G33">
        <v>6.0026645660400304E-3</v>
      </c>
      <c r="H33">
        <v>0.39023537499997402</v>
      </c>
      <c r="I33">
        <v>0.82609883400073103</v>
      </c>
      <c r="J33">
        <v>2.0154344180000399</v>
      </c>
    </row>
    <row r="34" spans="1:10" x14ac:dyDescent="0.35">
      <c r="A34">
        <v>33</v>
      </c>
      <c r="B34">
        <v>6</v>
      </c>
      <c r="C34">
        <v>3774.74291229248</v>
      </c>
      <c r="D34">
        <v>100.92551684379499</v>
      </c>
      <c r="E34">
        <v>302.64456987380902</v>
      </c>
      <c r="F34">
        <v>86400.140103101701</v>
      </c>
      <c r="G34">
        <v>5.6214332580566398E-3</v>
      </c>
      <c r="H34">
        <v>8.1198459000006495E-2</v>
      </c>
      <c r="I34">
        <v>0.54410941700007198</v>
      </c>
      <c r="J34">
        <v>3.3834880430003902</v>
      </c>
    </row>
    <row r="35" spans="1:10" x14ac:dyDescent="0.35">
      <c r="A35">
        <v>34</v>
      </c>
      <c r="B35">
        <v>6</v>
      </c>
      <c r="C35">
        <v>1964.59009075164</v>
      </c>
      <c r="D35">
        <v>136.314377784729</v>
      </c>
      <c r="E35">
        <v>394.49784350395203</v>
      </c>
      <c r="F35">
        <v>86400.115904331207</v>
      </c>
      <c r="G35">
        <v>5.6524276733398403E-3</v>
      </c>
      <c r="H35">
        <v>8.3501915999931897E-2</v>
      </c>
      <c r="I35">
        <v>0.84210574999997301</v>
      </c>
      <c r="J35">
        <v>1.81597325100028</v>
      </c>
    </row>
    <row r="36" spans="1:10" x14ac:dyDescent="0.35">
      <c r="A36">
        <v>35</v>
      </c>
      <c r="B36">
        <v>6</v>
      </c>
      <c r="C36">
        <v>98.0358052253723</v>
      </c>
      <c r="D36">
        <v>1499.5055146217301</v>
      </c>
      <c r="E36">
        <v>453.13620591163601</v>
      </c>
      <c r="F36">
        <v>86400.137974739002</v>
      </c>
      <c r="G36">
        <v>5.1372051239013602E-3</v>
      </c>
      <c r="H36">
        <v>0.117617542000061</v>
      </c>
      <c r="I36">
        <v>0.38466891700045303</v>
      </c>
      <c r="J36">
        <v>0.81504812500043</v>
      </c>
    </row>
    <row r="37" spans="1:10" x14ac:dyDescent="0.35">
      <c r="A37">
        <v>36</v>
      </c>
      <c r="B37">
        <v>6</v>
      </c>
      <c r="C37">
        <v>340.20367479324301</v>
      </c>
      <c r="D37">
        <v>59.518777132034302</v>
      </c>
      <c r="E37">
        <v>248.66281890869101</v>
      </c>
      <c r="F37">
        <v>86400.133429527195</v>
      </c>
      <c r="G37">
        <v>4.7066211700439401E-3</v>
      </c>
      <c r="H37">
        <v>9.1725875000065502E-2</v>
      </c>
      <c r="I37">
        <v>0.126252750000276</v>
      </c>
      <c r="J37">
        <v>0.91174570899966001</v>
      </c>
    </row>
    <row r="38" spans="1:10" x14ac:dyDescent="0.35">
      <c r="A38">
        <v>37</v>
      </c>
      <c r="B38">
        <v>6</v>
      </c>
      <c r="C38">
        <v>31.145901679992601</v>
      </c>
      <c r="D38">
        <v>320.65396547317499</v>
      </c>
      <c r="E38">
        <v>293.428564310073</v>
      </c>
      <c r="F38">
        <v>86400.134007453904</v>
      </c>
      <c r="G38">
        <v>6.2503814697265599E-3</v>
      </c>
      <c r="H38">
        <v>0.15854416599995599</v>
      </c>
      <c r="I38">
        <v>0.76464012599990305</v>
      </c>
      <c r="J38">
        <v>1.67764466700009</v>
      </c>
    </row>
    <row r="39" spans="1:10" x14ac:dyDescent="0.35">
      <c r="A39">
        <v>38</v>
      </c>
      <c r="B39">
        <v>6</v>
      </c>
      <c r="C39">
        <v>4.9631543159484801</v>
      </c>
      <c r="D39">
        <v>6913.6652741432099</v>
      </c>
      <c r="E39">
        <v>546.080072641372</v>
      </c>
      <c r="F39">
        <v>86400.127148866595</v>
      </c>
      <c r="G39">
        <v>5.1782131195068299E-3</v>
      </c>
      <c r="H39">
        <v>0.11649966699997</v>
      </c>
      <c r="I39">
        <v>0.49047770899960502</v>
      </c>
      <c r="J39">
        <v>1.0256034170006301</v>
      </c>
    </row>
    <row r="40" spans="1:10" x14ac:dyDescent="0.35">
      <c r="A40">
        <v>39</v>
      </c>
      <c r="B40">
        <v>6</v>
      </c>
      <c r="C40">
        <v>79.188139438629094</v>
      </c>
      <c r="D40">
        <v>610.82811737060501</v>
      </c>
      <c r="E40">
        <v>276.89593887329102</v>
      </c>
      <c r="F40">
        <v>86400.126035213398</v>
      </c>
      <c r="G40">
        <v>6.1039924621581997E-3</v>
      </c>
      <c r="H40">
        <v>0.105333333000089</v>
      </c>
      <c r="I40">
        <v>0.50584537499980797</v>
      </c>
      <c r="J40">
        <v>1.0728722090006999</v>
      </c>
    </row>
    <row r="41" spans="1:10" x14ac:dyDescent="0.35">
      <c r="A41">
        <v>40</v>
      </c>
      <c r="B41">
        <v>6</v>
      </c>
      <c r="C41">
        <v>922.62835550308205</v>
      </c>
      <c r="D41">
        <v>280.592938423156</v>
      </c>
      <c r="E41">
        <v>412.89148020744301</v>
      </c>
      <c r="F41">
        <v>86400.128802537904</v>
      </c>
      <c r="G41">
        <v>5.1181316375732396E-3</v>
      </c>
      <c r="H41">
        <v>0.10184775000016</v>
      </c>
      <c r="I41">
        <v>0.69615558399982502</v>
      </c>
      <c r="J41">
        <v>3.37205650099986</v>
      </c>
    </row>
    <row r="42" spans="1:10" x14ac:dyDescent="0.35">
      <c r="A42">
        <v>41</v>
      </c>
      <c r="B42">
        <v>7</v>
      </c>
      <c r="C42">
        <v>712.73984003067005</v>
      </c>
      <c r="D42">
        <v>1518.63394331932</v>
      </c>
      <c r="E42">
        <v>707.79996132850601</v>
      </c>
      <c r="F42">
        <v>86400.211915969805</v>
      </c>
      <c r="G42">
        <v>5.31005859375E-3</v>
      </c>
      <c r="H42">
        <v>0.134515959000054</v>
      </c>
      <c r="I42">
        <v>0.85145383400049401</v>
      </c>
      <c r="J42">
        <v>2.5544875010000299</v>
      </c>
    </row>
    <row r="43" spans="1:10" x14ac:dyDescent="0.35">
      <c r="A43">
        <v>42</v>
      </c>
      <c r="B43">
        <v>7</v>
      </c>
      <c r="C43">
        <v>5505.72230434417</v>
      </c>
      <c r="D43">
        <v>580.17795109748795</v>
      </c>
      <c r="E43">
        <v>479.90765690803499</v>
      </c>
      <c r="F43">
        <v>86400.134572505907</v>
      </c>
      <c r="G43">
        <v>5.4419040679931597E-3</v>
      </c>
      <c r="H43">
        <v>0.103053875000114</v>
      </c>
      <c r="I43">
        <v>0.50271679199977304</v>
      </c>
      <c r="J43">
        <v>3.8542224180000599</v>
      </c>
    </row>
    <row r="44" spans="1:10" x14ac:dyDescent="0.35">
      <c r="A44">
        <v>43</v>
      </c>
      <c r="B44">
        <v>7</v>
      </c>
      <c r="C44">
        <v>640.21524930000305</v>
      </c>
      <c r="D44">
        <v>320.01122188568098</v>
      </c>
      <c r="E44">
        <v>466.90860319137499</v>
      </c>
      <c r="F44">
        <v>86400.131663084001</v>
      </c>
      <c r="G44">
        <v>5.6045055389404297E-3</v>
      </c>
      <c r="H44">
        <v>0.14530545799971101</v>
      </c>
      <c r="I44">
        <v>0.75533995800014897</v>
      </c>
      <c r="J44">
        <v>1.99812491700049</v>
      </c>
    </row>
    <row r="45" spans="1:10" x14ac:dyDescent="0.35">
      <c r="A45">
        <v>44</v>
      </c>
      <c r="B45">
        <v>7</v>
      </c>
      <c r="C45">
        <v>271.16198706626801</v>
      </c>
      <c r="D45">
        <v>94.3208456039428</v>
      </c>
      <c r="E45">
        <v>332.61604619026099</v>
      </c>
      <c r="F45">
        <v>86400.134548902497</v>
      </c>
      <c r="G45">
        <v>4.8720836639404297E-3</v>
      </c>
      <c r="H45">
        <v>0.104308082999978</v>
      </c>
      <c r="I45">
        <v>0.544640124999205</v>
      </c>
      <c r="J45">
        <v>2.4789781680001299</v>
      </c>
    </row>
    <row r="46" spans="1:10" x14ac:dyDescent="0.35">
      <c r="A46">
        <v>45</v>
      </c>
      <c r="B46">
        <v>7</v>
      </c>
      <c r="C46">
        <v>291.48174500465302</v>
      </c>
      <c r="D46">
        <v>213.53333497047399</v>
      </c>
      <c r="E46">
        <v>478.408534049987</v>
      </c>
      <c r="F46">
        <v>86400.129339218096</v>
      </c>
      <c r="G46">
        <v>5.0356388092040998E-3</v>
      </c>
      <c r="H46">
        <v>0.14090329200007501</v>
      </c>
      <c r="I46">
        <v>0.50693925000086804</v>
      </c>
      <c r="J46">
        <v>1.01202449999982</v>
      </c>
    </row>
    <row r="47" spans="1:10" x14ac:dyDescent="0.35">
      <c r="A47">
        <v>46</v>
      </c>
      <c r="B47">
        <v>7</v>
      </c>
      <c r="C47">
        <v>50.2884037494659</v>
      </c>
      <c r="D47">
        <v>89.7342205047607</v>
      </c>
      <c r="E47">
        <v>544.07556653022698</v>
      </c>
      <c r="F47">
        <v>86400.1261193752</v>
      </c>
      <c r="G47">
        <v>5.8310031890869097E-3</v>
      </c>
      <c r="H47">
        <v>0.13723908300016699</v>
      </c>
      <c r="I47">
        <v>1.22124062599959</v>
      </c>
      <c r="J47">
        <v>5.3473507110002103</v>
      </c>
    </row>
    <row r="48" spans="1:10" x14ac:dyDescent="0.35">
      <c r="A48">
        <v>47</v>
      </c>
      <c r="B48">
        <v>7</v>
      </c>
      <c r="C48">
        <v>28681.8346641063</v>
      </c>
      <c r="D48">
        <v>638.05624175071705</v>
      </c>
      <c r="E48">
        <v>463.24853658676102</v>
      </c>
      <c r="F48">
        <v>86400.312841892199</v>
      </c>
      <c r="G48">
        <v>5.4316520690917899E-3</v>
      </c>
      <c r="H48">
        <v>7.6273958000001502E-2</v>
      </c>
      <c r="I48">
        <v>0.83446166699923197</v>
      </c>
      <c r="J48">
        <v>3.0783139179993602</v>
      </c>
    </row>
    <row r="49" spans="1:10" x14ac:dyDescent="0.35">
      <c r="A49">
        <v>48</v>
      </c>
      <c r="B49">
        <v>7</v>
      </c>
      <c r="C49">
        <v>24.768089056015</v>
      </c>
      <c r="D49">
        <v>17601.845165967901</v>
      </c>
      <c r="E49">
        <v>1496.15870833396</v>
      </c>
      <c r="F49">
        <v>86400.219609498905</v>
      </c>
      <c r="G49">
        <v>4.7314167022705E-3</v>
      </c>
      <c r="H49">
        <v>0.13343433399995699</v>
      </c>
      <c r="I49">
        <v>0.47714245899987801</v>
      </c>
      <c r="J49">
        <v>1.4057622509999399</v>
      </c>
    </row>
    <row r="50" spans="1:10" x14ac:dyDescent="0.35">
      <c r="A50">
        <v>49</v>
      </c>
      <c r="B50">
        <v>7</v>
      </c>
      <c r="C50">
        <v>20.868867158889699</v>
      </c>
      <c r="D50">
        <v>5634.1728641986801</v>
      </c>
      <c r="E50">
        <v>1068.1284990310601</v>
      </c>
      <c r="F50">
        <v>86400.086030006394</v>
      </c>
      <c r="G50">
        <v>4.53543663024902E-3</v>
      </c>
      <c r="H50">
        <v>0.104485040999861</v>
      </c>
      <c r="I50">
        <v>0.34610658299970898</v>
      </c>
      <c r="J50">
        <v>1.33293304200014</v>
      </c>
    </row>
    <row r="51" spans="1:10" x14ac:dyDescent="0.35">
      <c r="A51">
        <v>50</v>
      </c>
      <c r="B51">
        <v>7</v>
      </c>
      <c r="C51">
        <v>18.745156764984099</v>
      </c>
      <c r="D51">
        <v>163.14162302017201</v>
      </c>
      <c r="E51">
        <v>452.50598287582397</v>
      </c>
      <c r="F51">
        <v>86400.124464988694</v>
      </c>
      <c r="G51">
        <v>4.9333572387695304E-3</v>
      </c>
      <c r="H51">
        <v>9.0025083000000394E-2</v>
      </c>
      <c r="I51">
        <v>0.32029962500018799</v>
      </c>
      <c r="J51">
        <v>0.65302429199982703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7375-EC2A-4103-B5E1-7B57AD320C83}">
  <dimension ref="A1:E51"/>
  <sheetViews>
    <sheetView workbookViewId="0">
      <selection activeCell="F17" sqref="F17"/>
    </sheetView>
  </sheetViews>
  <sheetFormatPr defaultRowHeight="14.5" x14ac:dyDescent="0.35"/>
  <cols>
    <col min="1" max="1" width="13.54296875" customWidth="1"/>
    <col min="2" max="2" width="13.7265625" customWidth="1"/>
    <col min="3" max="3" width="22.54296875" bestFit="1" customWidth="1"/>
    <col min="4" max="5" width="20.26953125" customWidth="1"/>
    <col min="6" max="6" width="21.26953125" customWidth="1"/>
    <col min="7" max="7" width="19.7265625" customWidth="1"/>
    <col min="8" max="8" width="23.54296875" customWidth="1"/>
  </cols>
  <sheetData>
    <row r="1" spans="1:5" x14ac:dyDescent="0.35">
      <c r="A1" t="s">
        <v>0</v>
      </c>
      <c r="B1" t="s">
        <v>5</v>
      </c>
      <c r="C1" t="s">
        <v>208</v>
      </c>
      <c r="D1" t="s">
        <v>233</v>
      </c>
      <c r="E1" t="s">
        <v>253</v>
      </c>
    </row>
    <row r="2" spans="1:5" x14ac:dyDescent="0.35">
      <c r="A2">
        <v>1</v>
      </c>
      <c r="B2" t="s">
        <v>14</v>
      </c>
      <c r="C2" t="s">
        <v>15</v>
      </c>
      <c r="D2" t="s">
        <v>15</v>
      </c>
      <c r="E2" t="s">
        <v>15</v>
      </c>
    </row>
    <row r="3" spans="1:5" x14ac:dyDescent="0.35">
      <c r="A3">
        <v>2</v>
      </c>
      <c r="B3" t="s">
        <v>16</v>
      </c>
      <c r="C3" t="s">
        <v>17</v>
      </c>
      <c r="D3" t="s">
        <v>17</v>
      </c>
      <c r="E3" t="s">
        <v>17</v>
      </c>
    </row>
    <row r="4" spans="1:5" x14ac:dyDescent="0.35">
      <c r="A4">
        <v>3</v>
      </c>
      <c r="B4" t="s">
        <v>19</v>
      </c>
      <c r="C4" t="s">
        <v>22</v>
      </c>
      <c r="D4" t="s">
        <v>22</v>
      </c>
      <c r="E4" t="s">
        <v>238</v>
      </c>
    </row>
    <row r="5" spans="1:5" x14ac:dyDescent="0.35">
      <c r="A5">
        <v>4</v>
      </c>
      <c r="B5" t="s">
        <v>24</v>
      </c>
      <c r="C5" t="s">
        <v>26</v>
      </c>
      <c r="D5" t="s">
        <v>213</v>
      </c>
      <c r="E5" t="s">
        <v>239</v>
      </c>
    </row>
    <row r="6" spans="1:5" x14ac:dyDescent="0.35">
      <c r="A6">
        <v>5</v>
      </c>
      <c r="B6" t="s">
        <v>27</v>
      </c>
      <c r="C6" t="s">
        <v>28</v>
      </c>
      <c r="D6" t="s">
        <v>28</v>
      </c>
      <c r="E6" t="s">
        <v>28</v>
      </c>
    </row>
    <row r="7" spans="1:5" x14ac:dyDescent="0.35">
      <c r="A7">
        <v>6</v>
      </c>
      <c r="B7" t="s">
        <v>30</v>
      </c>
      <c r="C7" t="s">
        <v>31</v>
      </c>
      <c r="D7" t="s">
        <v>31</v>
      </c>
      <c r="E7" t="s">
        <v>31</v>
      </c>
    </row>
    <row r="8" spans="1:5" x14ac:dyDescent="0.35">
      <c r="A8">
        <v>7</v>
      </c>
      <c r="B8" t="s">
        <v>33</v>
      </c>
      <c r="C8" t="s">
        <v>35</v>
      </c>
      <c r="D8" t="s">
        <v>35</v>
      </c>
      <c r="E8" t="s">
        <v>35</v>
      </c>
    </row>
    <row r="9" spans="1:5" x14ac:dyDescent="0.35">
      <c r="A9">
        <v>8</v>
      </c>
      <c r="B9" t="s">
        <v>36</v>
      </c>
      <c r="C9" t="s">
        <v>38</v>
      </c>
      <c r="D9" t="s">
        <v>38</v>
      </c>
      <c r="E9" t="s">
        <v>240</v>
      </c>
    </row>
    <row r="10" spans="1:5" x14ac:dyDescent="0.35">
      <c r="A10">
        <v>9</v>
      </c>
      <c r="B10" t="s">
        <v>40</v>
      </c>
      <c r="C10" t="s">
        <v>42</v>
      </c>
      <c r="D10" t="s">
        <v>214</v>
      </c>
      <c r="E10" t="s">
        <v>214</v>
      </c>
    </row>
    <row r="11" spans="1:5" x14ac:dyDescent="0.35">
      <c r="A11">
        <v>10</v>
      </c>
      <c r="B11" t="s">
        <v>44</v>
      </c>
      <c r="C11" t="s">
        <v>46</v>
      </c>
      <c r="D11" t="s">
        <v>215</v>
      </c>
      <c r="E11" t="s">
        <v>215</v>
      </c>
    </row>
    <row r="12" spans="1:5" x14ac:dyDescent="0.35">
      <c r="A12">
        <v>11</v>
      </c>
      <c r="B12" t="s">
        <v>48</v>
      </c>
      <c r="C12" t="s">
        <v>49</v>
      </c>
      <c r="D12" t="s">
        <v>49</v>
      </c>
      <c r="E12" t="s">
        <v>49</v>
      </c>
    </row>
    <row r="13" spans="1:5" x14ac:dyDescent="0.35">
      <c r="A13">
        <v>12</v>
      </c>
      <c r="B13" t="s">
        <v>50</v>
      </c>
      <c r="C13" t="s">
        <v>53</v>
      </c>
      <c r="D13" t="s">
        <v>216</v>
      </c>
      <c r="E13" t="s">
        <v>241</v>
      </c>
    </row>
    <row r="14" spans="1:5" x14ac:dyDescent="0.35">
      <c r="A14">
        <v>13</v>
      </c>
      <c r="B14" t="s">
        <v>55</v>
      </c>
      <c r="C14" t="s">
        <v>58</v>
      </c>
      <c r="D14" t="s">
        <v>217</v>
      </c>
      <c r="E14" t="s">
        <v>217</v>
      </c>
    </row>
    <row r="15" spans="1:5" x14ac:dyDescent="0.35">
      <c r="A15">
        <v>14</v>
      </c>
      <c r="B15" t="s">
        <v>60</v>
      </c>
      <c r="C15" t="s">
        <v>63</v>
      </c>
      <c r="D15" t="s">
        <v>218</v>
      </c>
      <c r="E15" t="s">
        <v>242</v>
      </c>
    </row>
    <row r="16" spans="1:5" x14ac:dyDescent="0.35">
      <c r="A16">
        <v>15</v>
      </c>
      <c r="B16" t="s">
        <v>64</v>
      </c>
      <c r="C16" t="s">
        <v>66</v>
      </c>
      <c r="D16" t="s">
        <v>219</v>
      </c>
      <c r="E16" t="s">
        <v>219</v>
      </c>
    </row>
    <row r="17" spans="1:5" x14ac:dyDescent="0.35">
      <c r="A17">
        <v>16</v>
      </c>
      <c r="B17" t="s">
        <v>68</v>
      </c>
      <c r="C17" t="s">
        <v>69</v>
      </c>
      <c r="D17" t="s">
        <v>69</v>
      </c>
      <c r="E17" t="s">
        <v>69</v>
      </c>
    </row>
    <row r="18" spans="1:5" x14ac:dyDescent="0.35">
      <c r="A18">
        <v>17</v>
      </c>
      <c r="B18" t="s">
        <v>70</v>
      </c>
      <c r="C18" t="s">
        <v>74</v>
      </c>
      <c r="D18" t="s">
        <v>74</v>
      </c>
      <c r="E18" t="s">
        <v>74</v>
      </c>
    </row>
    <row r="19" spans="1:5" x14ac:dyDescent="0.35">
      <c r="A19">
        <v>18</v>
      </c>
      <c r="B19" t="s">
        <v>76</v>
      </c>
      <c r="C19" t="s">
        <v>78</v>
      </c>
      <c r="D19" t="s">
        <v>220</v>
      </c>
      <c r="E19" t="s">
        <v>220</v>
      </c>
    </row>
    <row r="20" spans="1:5" x14ac:dyDescent="0.35">
      <c r="A20">
        <v>19</v>
      </c>
      <c r="B20" t="s">
        <v>80</v>
      </c>
      <c r="C20" t="s">
        <v>82</v>
      </c>
      <c r="D20" t="s">
        <v>82</v>
      </c>
      <c r="E20" t="s">
        <v>82</v>
      </c>
    </row>
    <row r="21" spans="1:5" x14ac:dyDescent="0.35">
      <c r="A21">
        <v>20</v>
      </c>
      <c r="B21" t="s">
        <v>84</v>
      </c>
      <c r="C21" t="s">
        <v>87</v>
      </c>
      <c r="D21" t="s">
        <v>87</v>
      </c>
      <c r="E21" t="s">
        <v>87</v>
      </c>
    </row>
    <row r="22" spans="1:5" x14ac:dyDescent="0.35">
      <c r="A22">
        <v>21</v>
      </c>
      <c r="B22" t="s">
        <v>88</v>
      </c>
      <c r="C22" t="s">
        <v>91</v>
      </c>
      <c r="D22" t="s">
        <v>91</v>
      </c>
      <c r="E22" t="s">
        <v>91</v>
      </c>
    </row>
    <row r="23" spans="1:5" x14ac:dyDescent="0.35">
      <c r="A23">
        <v>22</v>
      </c>
      <c r="B23" t="s">
        <v>93</v>
      </c>
      <c r="C23" t="s">
        <v>96</v>
      </c>
      <c r="D23" t="s">
        <v>96</v>
      </c>
      <c r="E23" t="s">
        <v>243</v>
      </c>
    </row>
    <row r="24" spans="1:5" x14ac:dyDescent="0.35">
      <c r="A24">
        <v>23</v>
      </c>
      <c r="B24" t="s">
        <v>98</v>
      </c>
      <c r="C24" t="s">
        <v>101</v>
      </c>
      <c r="D24" t="s">
        <v>221</v>
      </c>
      <c r="E24" t="s">
        <v>101</v>
      </c>
    </row>
    <row r="25" spans="1:5" x14ac:dyDescent="0.35">
      <c r="A25">
        <v>24</v>
      </c>
      <c r="B25" t="s">
        <v>103</v>
      </c>
      <c r="C25" t="s">
        <v>106</v>
      </c>
      <c r="D25" t="s">
        <v>222</v>
      </c>
      <c r="E25" t="s">
        <v>222</v>
      </c>
    </row>
    <row r="26" spans="1:5" x14ac:dyDescent="0.35">
      <c r="A26">
        <v>25</v>
      </c>
      <c r="B26" t="s">
        <v>107</v>
      </c>
      <c r="C26" t="s">
        <v>108</v>
      </c>
      <c r="D26" t="s">
        <v>108</v>
      </c>
      <c r="E26" t="s">
        <v>108</v>
      </c>
    </row>
    <row r="27" spans="1:5" x14ac:dyDescent="0.35">
      <c r="A27">
        <v>26</v>
      </c>
      <c r="B27" t="s">
        <v>110</v>
      </c>
      <c r="C27" t="s">
        <v>112</v>
      </c>
      <c r="D27" t="s">
        <v>223</v>
      </c>
      <c r="E27" t="s">
        <v>244</v>
      </c>
    </row>
    <row r="28" spans="1:5" x14ac:dyDescent="0.35">
      <c r="A28">
        <v>27</v>
      </c>
      <c r="B28" t="s">
        <v>114</v>
      </c>
      <c r="C28" t="s">
        <v>117</v>
      </c>
      <c r="D28" t="s">
        <v>117</v>
      </c>
      <c r="E28" t="s">
        <v>117</v>
      </c>
    </row>
    <row r="29" spans="1:5" x14ac:dyDescent="0.35">
      <c r="A29">
        <v>28</v>
      </c>
      <c r="B29" t="s">
        <v>118</v>
      </c>
      <c r="C29" t="s">
        <v>120</v>
      </c>
      <c r="D29" t="s">
        <v>120</v>
      </c>
      <c r="E29" t="s">
        <v>120</v>
      </c>
    </row>
    <row r="30" spans="1:5" x14ac:dyDescent="0.35">
      <c r="A30">
        <v>29</v>
      </c>
      <c r="B30" t="s">
        <v>122</v>
      </c>
      <c r="C30" t="s">
        <v>125</v>
      </c>
      <c r="D30" t="s">
        <v>224</v>
      </c>
      <c r="E30" t="s">
        <v>245</v>
      </c>
    </row>
    <row r="31" spans="1:5" x14ac:dyDescent="0.35">
      <c r="A31">
        <v>30</v>
      </c>
      <c r="B31" t="s">
        <v>126</v>
      </c>
      <c r="C31" t="s">
        <v>127</v>
      </c>
      <c r="D31" t="s">
        <v>127</v>
      </c>
      <c r="E31" t="s">
        <v>127</v>
      </c>
    </row>
    <row r="32" spans="1:5" x14ac:dyDescent="0.35">
      <c r="A32">
        <v>31</v>
      </c>
      <c r="B32" t="s">
        <v>129</v>
      </c>
      <c r="C32" t="s">
        <v>132</v>
      </c>
      <c r="D32" t="s">
        <v>132</v>
      </c>
      <c r="E32" t="s">
        <v>246</v>
      </c>
    </row>
    <row r="33" spans="1:5" x14ac:dyDescent="0.35">
      <c r="A33">
        <v>32</v>
      </c>
      <c r="B33" t="s">
        <v>134</v>
      </c>
      <c r="C33" t="s">
        <v>137</v>
      </c>
      <c r="D33" t="s">
        <v>225</v>
      </c>
      <c r="E33" t="s">
        <v>247</v>
      </c>
    </row>
    <row r="34" spans="1:5" x14ac:dyDescent="0.35">
      <c r="A34">
        <v>33</v>
      </c>
      <c r="B34" t="s">
        <v>138</v>
      </c>
      <c r="C34" t="s">
        <v>141</v>
      </c>
      <c r="D34" t="s">
        <v>226</v>
      </c>
      <c r="E34" t="s">
        <v>248</v>
      </c>
    </row>
    <row r="35" spans="1:5" x14ac:dyDescent="0.35">
      <c r="A35">
        <v>34</v>
      </c>
      <c r="B35" t="s">
        <v>143</v>
      </c>
      <c r="C35" t="s">
        <v>145</v>
      </c>
      <c r="D35" t="s">
        <v>145</v>
      </c>
      <c r="E35" t="s">
        <v>145</v>
      </c>
    </row>
    <row r="36" spans="1:5" x14ac:dyDescent="0.35">
      <c r="A36">
        <v>35</v>
      </c>
      <c r="B36" t="s">
        <v>147</v>
      </c>
      <c r="C36" t="s">
        <v>149</v>
      </c>
      <c r="D36" t="s">
        <v>227</v>
      </c>
      <c r="E36" t="s">
        <v>249</v>
      </c>
    </row>
    <row r="37" spans="1:5" x14ac:dyDescent="0.35">
      <c r="A37">
        <v>36</v>
      </c>
      <c r="B37" t="s">
        <v>150</v>
      </c>
      <c r="C37" t="s">
        <v>152</v>
      </c>
      <c r="D37" t="s">
        <v>152</v>
      </c>
      <c r="E37" t="s">
        <v>152</v>
      </c>
    </row>
    <row r="38" spans="1:5" x14ac:dyDescent="0.35">
      <c r="A38">
        <v>37</v>
      </c>
      <c r="B38" t="s">
        <v>154</v>
      </c>
      <c r="C38" t="s">
        <v>156</v>
      </c>
      <c r="D38" t="s">
        <v>156</v>
      </c>
      <c r="E38" t="s">
        <v>156</v>
      </c>
    </row>
    <row r="39" spans="1:5" x14ac:dyDescent="0.35">
      <c r="A39">
        <v>38</v>
      </c>
      <c r="B39" t="s">
        <v>158</v>
      </c>
      <c r="C39" t="s">
        <v>161</v>
      </c>
      <c r="D39" t="s">
        <v>161</v>
      </c>
      <c r="E39" t="s">
        <v>161</v>
      </c>
    </row>
    <row r="40" spans="1:5" x14ac:dyDescent="0.35">
      <c r="A40">
        <v>39</v>
      </c>
      <c r="B40" t="s">
        <v>163</v>
      </c>
      <c r="C40" t="s">
        <v>164</v>
      </c>
      <c r="D40" t="s">
        <v>164</v>
      </c>
      <c r="E40" t="s">
        <v>164</v>
      </c>
    </row>
    <row r="41" spans="1:5" x14ac:dyDescent="0.35">
      <c r="A41">
        <v>40</v>
      </c>
      <c r="B41" t="s">
        <v>165</v>
      </c>
      <c r="C41" t="s">
        <v>167</v>
      </c>
      <c r="D41" t="s">
        <v>167</v>
      </c>
      <c r="E41" t="s">
        <v>250</v>
      </c>
    </row>
    <row r="42" spans="1:5" x14ac:dyDescent="0.35">
      <c r="A42">
        <v>41</v>
      </c>
      <c r="B42" t="s">
        <v>169</v>
      </c>
      <c r="C42" t="s">
        <v>172</v>
      </c>
      <c r="D42" t="s">
        <v>228</v>
      </c>
      <c r="E42" t="s">
        <v>228</v>
      </c>
    </row>
    <row r="43" spans="1:5" x14ac:dyDescent="0.35">
      <c r="A43">
        <v>42</v>
      </c>
      <c r="B43" t="s">
        <v>173</v>
      </c>
      <c r="C43" t="s">
        <v>176</v>
      </c>
      <c r="D43" t="s">
        <v>229</v>
      </c>
      <c r="E43" t="s">
        <v>176</v>
      </c>
    </row>
    <row r="44" spans="1:5" x14ac:dyDescent="0.35">
      <c r="A44">
        <v>43</v>
      </c>
      <c r="B44" t="s">
        <v>177</v>
      </c>
      <c r="C44" t="s">
        <v>179</v>
      </c>
      <c r="D44" t="s">
        <v>179</v>
      </c>
      <c r="E44" t="s">
        <v>251</v>
      </c>
    </row>
    <row r="45" spans="1:5" x14ac:dyDescent="0.35">
      <c r="A45">
        <v>44</v>
      </c>
      <c r="B45" t="s">
        <v>180</v>
      </c>
      <c r="C45" t="s">
        <v>181</v>
      </c>
      <c r="D45" t="s">
        <v>181</v>
      </c>
      <c r="E45" t="s">
        <v>181</v>
      </c>
    </row>
    <row r="46" spans="1:5" x14ac:dyDescent="0.35">
      <c r="A46">
        <v>45</v>
      </c>
      <c r="B46" t="s">
        <v>183</v>
      </c>
      <c r="C46" t="s">
        <v>186</v>
      </c>
      <c r="D46" t="s">
        <v>186</v>
      </c>
      <c r="E46" t="s">
        <v>252</v>
      </c>
    </row>
    <row r="47" spans="1:5" x14ac:dyDescent="0.35">
      <c r="A47">
        <v>46</v>
      </c>
      <c r="B47" t="s">
        <v>188</v>
      </c>
      <c r="C47" t="s">
        <v>190</v>
      </c>
      <c r="D47" t="s">
        <v>230</v>
      </c>
      <c r="E47" t="s">
        <v>230</v>
      </c>
    </row>
    <row r="48" spans="1:5" x14ac:dyDescent="0.35">
      <c r="A48">
        <v>47</v>
      </c>
      <c r="B48" t="s">
        <v>192</v>
      </c>
      <c r="C48" t="s">
        <v>195</v>
      </c>
      <c r="D48" t="s">
        <v>231</v>
      </c>
      <c r="E48" t="s">
        <v>231</v>
      </c>
    </row>
    <row r="49" spans="1:5" x14ac:dyDescent="0.35">
      <c r="A49">
        <v>48</v>
      </c>
      <c r="B49" t="s">
        <v>197</v>
      </c>
      <c r="C49" t="s">
        <v>200</v>
      </c>
      <c r="D49" t="s">
        <v>200</v>
      </c>
      <c r="E49" t="s">
        <v>200</v>
      </c>
    </row>
    <row r="50" spans="1:5" x14ac:dyDescent="0.35">
      <c r="A50">
        <v>49</v>
      </c>
      <c r="B50" t="s">
        <v>202</v>
      </c>
      <c r="C50" t="s">
        <v>204</v>
      </c>
      <c r="D50" t="s">
        <v>204</v>
      </c>
      <c r="E50" t="s">
        <v>204</v>
      </c>
    </row>
    <row r="51" spans="1:5" x14ac:dyDescent="0.35">
      <c r="A51">
        <v>50</v>
      </c>
      <c r="B51" t="s">
        <v>205</v>
      </c>
      <c r="C51" t="s">
        <v>207</v>
      </c>
      <c r="D51" t="s">
        <v>207</v>
      </c>
      <c r="E51" t="s">
        <v>207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FA2E-9AEB-4E79-9A8E-6278524DAB1E}">
  <dimension ref="A2:AH6"/>
  <sheetViews>
    <sheetView topLeftCell="B1" workbookViewId="0">
      <selection activeCell="H16" sqref="H16"/>
    </sheetView>
  </sheetViews>
  <sheetFormatPr defaultRowHeight="14.5" x14ac:dyDescent="0.35"/>
  <cols>
    <col min="4" max="4" width="13.453125" bestFit="1" customWidth="1"/>
    <col min="5" max="5" width="19.1796875" bestFit="1" customWidth="1"/>
    <col min="6" max="6" width="12.54296875" bestFit="1" customWidth="1"/>
    <col min="8" max="8" width="22.54296875" bestFit="1" customWidth="1"/>
    <col min="9" max="9" width="14.1796875" bestFit="1" customWidth="1"/>
    <col min="10" max="10" width="18.26953125" bestFit="1" customWidth="1"/>
    <col min="11" max="11" width="19" bestFit="1" customWidth="1"/>
    <col min="12" max="12" width="20.81640625" bestFit="1" customWidth="1"/>
    <col min="13" max="13" width="18.7265625" bestFit="1" customWidth="1"/>
    <col min="15" max="15" width="18.26953125" bestFit="1" customWidth="1"/>
  </cols>
  <sheetData>
    <row r="2" spans="1:34" x14ac:dyDescent="0.35">
      <c r="A2" t="s">
        <v>0</v>
      </c>
      <c r="B2" t="s">
        <v>232</v>
      </c>
      <c r="C2" t="s">
        <v>13</v>
      </c>
      <c r="D2" t="s">
        <v>4</v>
      </c>
      <c r="E2" t="s">
        <v>5</v>
      </c>
      <c r="F2" t="s">
        <v>6</v>
      </c>
      <c r="G2" t="s">
        <v>12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233</v>
      </c>
      <c r="N2" t="s">
        <v>234</v>
      </c>
      <c r="O2" t="s">
        <v>235</v>
      </c>
      <c r="P2" t="s">
        <v>236</v>
      </c>
      <c r="Q2" t="s">
        <v>237</v>
      </c>
      <c r="R2" t="s">
        <v>253</v>
      </c>
      <c r="S2" t="s">
        <v>254</v>
      </c>
      <c r="T2" t="s">
        <v>255</v>
      </c>
      <c r="U2" t="s">
        <v>256</v>
      </c>
      <c r="V2" t="s">
        <v>257</v>
      </c>
      <c r="W2" t="s">
        <v>258</v>
      </c>
    </row>
    <row r="3" spans="1:34" x14ac:dyDescent="0.35">
      <c r="A3">
        <v>32</v>
      </c>
      <c r="B3">
        <v>6</v>
      </c>
      <c r="C3">
        <v>40</v>
      </c>
      <c r="D3">
        <v>79.067918539047199</v>
      </c>
      <c r="E3" t="s">
        <v>134</v>
      </c>
      <c r="F3">
        <v>34</v>
      </c>
      <c r="G3">
        <v>33</v>
      </c>
      <c r="H3" t="s">
        <v>137</v>
      </c>
      <c r="I3">
        <v>0.39023537499997402</v>
      </c>
      <c r="J3">
        <v>18</v>
      </c>
      <c r="K3">
        <v>-16</v>
      </c>
      <c r="L3">
        <v>-15</v>
      </c>
      <c r="M3" t="s">
        <v>225</v>
      </c>
      <c r="N3">
        <v>0.82609883400073103</v>
      </c>
      <c r="O3">
        <v>34</v>
      </c>
      <c r="P3">
        <v>0</v>
      </c>
      <c r="Q3">
        <v>1</v>
      </c>
      <c r="R3" t="s">
        <v>247</v>
      </c>
      <c r="S3">
        <v>2.0154344180000399</v>
      </c>
      <c r="T3">
        <v>34</v>
      </c>
      <c r="U3">
        <v>0</v>
      </c>
      <c r="V3">
        <v>0</v>
      </c>
      <c r="W3">
        <v>1</v>
      </c>
    </row>
    <row r="5" spans="1:34" x14ac:dyDescent="0.35">
      <c r="A5" t="s">
        <v>0</v>
      </c>
      <c r="B5" t="s">
        <v>232</v>
      </c>
      <c r="C5" t="s">
        <v>13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271</v>
      </c>
      <c r="K5" t="s">
        <v>272</v>
      </c>
      <c r="L5" t="s">
        <v>273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253</v>
      </c>
      <c r="AD5" t="s">
        <v>254</v>
      </c>
      <c r="AE5" t="s">
        <v>255</v>
      </c>
      <c r="AF5" t="s">
        <v>256</v>
      </c>
      <c r="AG5" t="s">
        <v>257</v>
      </c>
      <c r="AH5" t="s">
        <v>258</v>
      </c>
    </row>
    <row r="6" spans="1:34" x14ac:dyDescent="0.35">
      <c r="A6">
        <v>25</v>
      </c>
      <c r="B6">
        <v>5</v>
      </c>
      <c r="C6">
        <v>40</v>
      </c>
      <c r="D6">
        <v>2010.4343097209901</v>
      </c>
      <c r="E6" t="s">
        <v>107</v>
      </c>
      <c r="F6">
        <v>34</v>
      </c>
      <c r="G6">
        <v>65.932975530624304</v>
      </c>
      <c r="H6" t="s">
        <v>107</v>
      </c>
      <c r="I6">
        <v>34</v>
      </c>
      <c r="J6">
        <v>297.85724782943697</v>
      </c>
      <c r="K6" t="s">
        <v>107</v>
      </c>
      <c r="L6">
        <v>34</v>
      </c>
      <c r="M6">
        <v>34203.160275936098</v>
      </c>
      <c r="N6" t="s">
        <v>107</v>
      </c>
      <c r="O6">
        <v>34</v>
      </c>
      <c r="P6">
        <v>4.5621395111083898E-3</v>
      </c>
      <c r="Q6" t="s">
        <v>107</v>
      </c>
      <c r="R6">
        <v>34</v>
      </c>
      <c r="S6" t="s">
        <v>108</v>
      </c>
      <c r="T6">
        <v>7.3529333999886107E-2</v>
      </c>
      <c r="U6">
        <v>34</v>
      </c>
      <c r="V6">
        <v>0</v>
      </c>
      <c r="W6">
        <v>0</v>
      </c>
      <c r="X6" t="s">
        <v>108</v>
      </c>
      <c r="Y6">
        <v>0.52385645800040903</v>
      </c>
      <c r="Z6">
        <v>34</v>
      </c>
      <c r="AA6">
        <v>0</v>
      </c>
      <c r="AB6">
        <v>0</v>
      </c>
      <c r="AC6" t="s">
        <v>108</v>
      </c>
      <c r="AD6">
        <v>1.1891566680005701</v>
      </c>
      <c r="AE6">
        <v>34</v>
      </c>
      <c r="AF6">
        <v>0</v>
      </c>
      <c r="AG6">
        <v>0</v>
      </c>
      <c r="A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compare_results_1_roots</vt:lpstr>
      <vt:lpstr>comparacion</vt:lpstr>
      <vt:lpstr>compare_nodes</vt:lpstr>
      <vt:lpstr>compare_times</vt:lpstr>
      <vt:lpstr>compare_results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</cp:lastModifiedBy>
  <dcterms:created xsi:type="dcterms:W3CDTF">2025-11-08T08:06:14Z</dcterms:created>
  <dcterms:modified xsi:type="dcterms:W3CDTF">2026-03-13T06:07:49Z</dcterms:modified>
</cp:coreProperties>
</file>