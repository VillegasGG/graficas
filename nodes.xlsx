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lle\OneDrive\Documents\CIC\Tesis\graficas\"/>
    </mc:Choice>
  </mc:AlternateContent>
  <xr:revisionPtr revIDLastSave="0" documentId="13_ncr:1_{97553977-C2D6-4936-AFB0-AEE6BB9DEF10}" xr6:coauthVersionLast="47" xr6:coauthVersionMax="47" xr10:uidLastSave="{00000000-0000-0000-0000-000000000000}"/>
  <bookViews>
    <workbookView xWindow="-110" yWindow="-110" windowWidth="19420" windowHeight="10300" firstSheet="1" activeTab="4" xr2:uid="{3E177061-3EDD-444E-96B0-FCF042888570}"/>
  </bookViews>
  <sheets>
    <sheet name="compare_results_1_nodes" sheetId="1" r:id="rId1"/>
    <sheet name="solution" sheetId="2" r:id="rId2"/>
    <sheet name="optimos" sheetId="3" r:id="rId3"/>
    <sheet name="duracion" sheetId="4" r:id="rId4"/>
    <sheet name="comparacion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5" l="1"/>
  <c r="D3" i="5"/>
  <c r="D4" i="5"/>
  <c r="D5" i="5"/>
  <c r="D6" i="5"/>
  <c r="D7" i="5"/>
  <c r="I14" i="5"/>
  <c r="I15" i="5"/>
  <c r="I16" i="5"/>
  <c r="I17" i="5"/>
  <c r="I18" i="5"/>
  <c r="I13" i="5"/>
  <c r="H14" i="5"/>
  <c r="H15" i="5"/>
  <c r="H16" i="5"/>
  <c r="H17" i="5"/>
  <c r="H18" i="5"/>
  <c r="H13" i="5"/>
  <c r="G14" i="5"/>
  <c r="G15" i="5"/>
  <c r="G16" i="5"/>
  <c r="G17" i="5"/>
  <c r="G18" i="5"/>
  <c r="G13" i="5"/>
  <c r="G3" i="5"/>
  <c r="G4" i="5"/>
  <c r="G5" i="5"/>
  <c r="G6" i="5"/>
  <c r="G7" i="5"/>
  <c r="G2" i="5"/>
  <c r="E3" i="5"/>
  <c r="E4" i="5"/>
  <c r="E5" i="5"/>
  <c r="E6" i="5"/>
  <c r="E7" i="5"/>
  <c r="E2" i="5"/>
  <c r="F3" i="5"/>
  <c r="F4" i="5"/>
  <c r="F5" i="5"/>
  <c r="F6" i="5"/>
  <c r="F7" i="5"/>
  <c r="F2" i="5"/>
  <c r="F14" i="5"/>
  <c r="F15" i="5"/>
  <c r="F16" i="5"/>
  <c r="F17" i="5"/>
  <c r="F18" i="5"/>
  <c r="F13" i="5"/>
  <c r="E14" i="5"/>
  <c r="E15" i="5"/>
  <c r="E16" i="5"/>
  <c r="E17" i="5"/>
  <c r="E18" i="5"/>
  <c r="E13" i="5"/>
  <c r="D14" i="5"/>
  <c r="D15" i="5"/>
  <c r="D16" i="5"/>
  <c r="D17" i="5"/>
  <c r="D18" i="5"/>
  <c r="D13" i="5"/>
  <c r="C14" i="5"/>
  <c r="C13" i="5"/>
  <c r="C3" i="5"/>
  <c r="C4" i="5"/>
  <c r="C5" i="5"/>
  <c r="C6" i="5"/>
  <c r="C7" i="5"/>
  <c r="C2" i="5"/>
  <c r="H5" i="5" l="1"/>
  <c r="H6" i="5"/>
  <c r="I4" i="5"/>
  <c r="J4" i="5"/>
  <c r="I3" i="5"/>
  <c r="J3" i="5"/>
  <c r="J2" i="5"/>
  <c r="J7" i="5"/>
  <c r="J6" i="5"/>
  <c r="H3" i="5"/>
  <c r="H4" i="5"/>
  <c r="J5" i="5"/>
  <c r="H7" i="5"/>
  <c r="H2" i="5"/>
  <c r="I2" i="5"/>
  <c r="I7" i="5"/>
  <c r="I6" i="5"/>
  <c r="I5" i="5"/>
</calcChain>
</file>

<file path=xl/sharedStrings.xml><?xml version="1.0" encoding="utf-8"?>
<sst xmlns="http://schemas.openxmlformats.org/spreadsheetml/2006/main" count="570" uniqueCount="248">
  <si>
    <t>experiment</t>
  </si>
  <si>
    <t>duration_dp</t>
  </si>
  <si>
    <t>solution_dp</t>
  </si>
  <si>
    <t>optimal_dp</t>
  </si>
  <si>
    <t>duration_iqcp</t>
  </si>
  <si>
    <t>solution_iqcp</t>
  </si>
  <si>
    <t>optimal_iqcp</t>
  </si>
  <si>
    <t>duration</t>
  </si>
  <si>
    <t>solution</t>
  </si>
  <si>
    <t>optimal</t>
  </si>
  <si>
    <t>duration_miqcp</t>
  </si>
  <si>
    <t>solution_miqcp</t>
  </si>
  <si>
    <t>optimal_miqcp</t>
  </si>
  <si>
    <t>duration_greedy</t>
  </si>
  <si>
    <t>solution_greedy</t>
  </si>
  <si>
    <t>optimal_greedy</t>
  </si>
  <si>
    <t>n_nodes</t>
  </si>
  <si>
    <t>solution_rollout</t>
  </si>
  <si>
    <t>final_damage</t>
  </si>
  <si>
    <t>time_taken</t>
  </si>
  <si>
    <t>optimal_rollout</t>
  </si>
  <si>
    <t>diff_iqcp_rollout</t>
  </si>
  <si>
    <t>diff_ilp_rollout</t>
  </si>
  <si>
    <t>diff_greedy_rollout</t>
  </si>
  <si>
    <t>[-1, 2, 3]</t>
  </si>
  <si>
    <t>[-1, 2, 23, 19, 21]</t>
  </si>
  <si>
    <t>[-1, 14, 3, 1, 15, 4, 18, 24, 16, 6]</t>
  </si>
  <si>
    <t>[23, 2, 21, 19]</t>
  </si>
  <si>
    <t>[-1, 18, 19, 21]</t>
  </si>
  <si>
    <t>[-1, 18, 21, 19]</t>
  </si>
  <si>
    <t>[-1, 1, 6]</t>
  </si>
  <si>
    <t>[18, 21, 19]</t>
  </si>
  <si>
    <t>[-1, 10]</t>
  </si>
  <si>
    <t>[10]</t>
  </si>
  <si>
    <t>[-1, 11, 5, 2, 4]</t>
  </si>
  <si>
    <t>[-1, 11, 5, 2, 4, 22, 9, 18, 12, 8, 21]</t>
  </si>
  <si>
    <t>[-1, 1, 21]</t>
  </si>
  <si>
    <t>[1, 16, 23]</t>
  </si>
  <si>
    <t>[-1, 8]</t>
  </si>
  <si>
    <t>[-1, 8, 24, 21, 20]</t>
  </si>
  <si>
    <t>[8]</t>
  </si>
  <si>
    <t>[-1, 0, 2, 17]</t>
  </si>
  <si>
    <t>[0, 2, 17]</t>
  </si>
  <si>
    <t>[-1, 1, 10, 4, 9, 8]</t>
  </si>
  <si>
    <t>[-1, 7, 10, 8, 9]</t>
  </si>
  <si>
    <t>[-1, 7, 10, 4, 8]</t>
  </si>
  <si>
    <t>[-1, 7, 24]</t>
  </si>
  <si>
    <t>[7, 10, 8, 9]</t>
  </si>
  <si>
    <t>[-1, 4, 9, 6, 11, 22]</t>
  </si>
  <si>
    <t>[-1, 4, 17, 13]</t>
  </si>
  <si>
    <t>[4, 17, 13]</t>
  </si>
  <si>
    <t>[-1, 6, 0, 1, 22, 10, 18, 8, 9]</t>
  </si>
  <si>
    <t>[-1, 6, 24, 15, 23]</t>
  </si>
  <si>
    <t>[-1, 6, 24, 23, 15]</t>
  </si>
  <si>
    <t>[6, 24, 15, 23]</t>
  </si>
  <si>
    <t>[-1, 15, 12, 11, 22]</t>
  </si>
  <si>
    <t>[-1, 15, 13, 5, 17]</t>
  </si>
  <si>
    <t>[-1, 13, 14, 3]</t>
  </si>
  <si>
    <t>[15, 12, 11, 22]</t>
  </si>
  <si>
    <t>[-1, 38, 26, 11, 15, 7, 8]</t>
  </si>
  <si>
    <t>[-1, 38, 26, 11, 15, 8, 7]</t>
  </si>
  <si>
    <t>[-1, 38, 32, 33, 8, 7]</t>
  </si>
  <si>
    <t>[-1, 26, 35, 4]</t>
  </si>
  <si>
    <t>[38, 32, 33, 8, 7]</t>
  </si>
  <si>
    <t>[-1, 34]</t>
  </si>
  <si>
    <t>[34]</t>
  </si>
  <si>
    <t>[-1, 24, 7]</t>
  </si>
  <si>
    <t>[7, 24]</t>
  </si>
  <si>
    <t>[-1, 13, 6, 12]</t>
  </si>
  <si>
    <t>[-1, 13, 12, 6]</t>
  </si>
  <si>
    <t>[13, 6, 12]</t>
  </si>
  <si>
    <t>[-1, 28, 7, 13]</t>
  </si>
  <si>
    <t>[28, 13, 7]</t>
  </si>
  <si>
    <t>[-1, 3, 35, 28, 14]</t>
  </si>
  <si>
    <t>[-1, 28, 3, 35, 14]</t>
  </si>
  <si>
    <t>[-1, 28, 35, 3, 14]</t>
  </si>
  <si>
    <t>[-1, 28, 13]</t>
  </si>
  <si>
    <t>[3, 35, 28, 14]</t>
  </si>
  <si>
    <t>[-1, 1, 33, 35, 2]</t>
  </si>
  <si>
    <t>[-1, 1, 35, 33, 2]</t>
  </si>
  <si>
    <t>[-1, 33, 29]</t>
  </si>
  <si>
    <t>[29, 33]</t>
  </si>
  <si>
    <t>[-1, 12, 9, 4, 23, 33]</t>
  </si>
  <si>
    <t>[-1, 12, 9, 4, 33, 23]</t>
  </si>
  <si>
    <t>[12, 37, 16]</t>
  </si>
  <si>
    <t>[-1, 3, 33, 15, 32]</t>
  </si>
  <si>
    <t>[-1, 27, 3]</t>
  </si>
  <si>
    <t>[27, 33, 4]</t>
  </si>
  <si>
    <t>[-1, 2, 9]</t>
  </si>
  <si>
    <t>[9, 2]</t>
  </si>
  <si>
    <t>[-1, 2, 6, 36]</t>
  </si>
  <si>
    <t>[2, 6, 36]</t>
  </si>
  <si>
    <t>[-1, 20, 49, 8]</t>
  </si>
  <si>
    <t>[-1, 8, 20]</t>
  </si>
  <si>
    <t>[20, 49, 8]</t>
  </si>
  <si>
    <t>[-1, 22, 35, 34, 6]</t>
  </si>
  <si>
    <t>[-1, 22, 35, 44, 4]</t>
  </si>
  <si>
    <t>[-1, 22, 34, 6]</t>
  </si>
  <si>
    <t>[35, 22, 4, 6]</t>
  </si>
  <si>
    <t>[-1, 5, 6, 25, 21, 37, 40]</t>
  </si>
  <si>
    <t>[-1, 5, 6, 25, 21, 40, 37]</t>
  </si>
  <si>
    <t>[-1, 5, 21, 25, 37, 40]</t>
  </si>
  <si>
    <t>[6, 11, 10, 14, 43]</t>
  </si>
  <si>
    <t>[-1, 16, 1, 8, 35]</t>
  </si>
  <si>
    <t>[-1, 1, 8, 4, 40, 38, 11]</t>
  </si>
  <si>
    <t>[-1, 8, 35]</t>
  </si>
  <si>
    <t>[1, 8, 35]</t>
  </si>
  <si>
    <t>[-1, 12, 36, 26]</t>
  </si>
  <si>
    <t>[-1, 12, 26]</t>
  </si>
  <si>
    <t>[12, 36, 26]</t>
  </si>
  <si>
    <t>[-1, 19, 1]</t>
  </si>
  <si>
    <t>[19, 1]</t>
  </si>
  <si>
    <t>[-1, 1, 14, 11, 2]</t>
  </si>
  <si>
    <t>[-1, 1, 2, 14]</t>
  </si>
  <si>
    <t>[1, 11, 2, 35]</t>
  </si>
  <si>
    <t>[-1, 32, 6, 35]</t>
  </si>
  <si>
    <t>[-1, 32, 35, 6]</t>
  </si>
  <si>
    <t>[32, 35, 6]</t>
  </si>
  <si>
    <t>[-1, 8, 48, 38]</t>
  </si>
  <si>
    <t>[8, 48, 38]</t>
  </si>
  <si>
    <t>[-1, 73, 6]</t>
  </si>
  <si>
    <t>[73, 6]</t>
  </si>
  <si>
    <t>[-1, 5, 12]</t>
  </si>
  <si>
    <t>[5, 12]</t>
  </si>
  <si>
    <t>[-1, 68, 30, 53]</t>
  </si>
  <si>
    <t>[-1, 68, 53]</t>
  </si>
  <si>
    <t>[68, 30, 53]</t>
  </si>
  <si>
    <t>[-1, 56, 45, 73]</t>
  </si>
  <si>
    <t>[-1, 73, 56, 45]</t>
  </si>
  <si>
    <t>[73, 56, 45]</t>
  </si>
  <si>
    <t>[-1, 52, 12]</t>
  </si>
  <si>
    <t>[52, 12]</t>
  </si>
  <si>
    <t>[-1, 54, 40, 29, 21, 25, 27, 58]</t>
  </si>
  <si>
    <t>[-1, 29, 67, 70, 45]</t>
  </si>
  <si>
    <t>[54, 29, 25, 21, 58, 27]</t>
  </si>
  <si>
    <t>[-1, 5, 63, 50, 29]</t>
  </si>
  <si>
    <t>[-1, 5, 29]</t>
  </si>
  <si>
    <t>[50, 63, 5, 29]</t>
  </si>
  <si>
    <t>[-1, 44, 2, 7]</t>
  </si>
  <si>
    <t>[-1, 2, 7]</t>
  </si>
  <si>
    <t>[50, 44, 53]</t>
  </si>
  <si>
    <t>[-1, 42, 38, 63, 31, 33]</t>
  </si>
  <si>
    <t>[-1, 42, 63, 33, 31, 46]</t>
  </si>
  <si>
    <t>[42, 63, 38, 31, 33]</t>
  </si>
  <si>
    <t>[-1, 69, 73, 3, 60, 14, 30]</t>
  </si>
  <si>
    <t>[-1, 73, 3, 6, 58, 72, 1]</t>
  </si>
  <si>
    <t>[69, 73, 8, 66, 54, 47, 1, 58, 72]</t>
  </si>
  <si>
    <t>[-1, 58, 29, 38]</t>
  </si>
  <si>
    <t>[-1, 38]</t>
  </si>
  <si>
    <t>[58, 29, 38]</t>
  </si>
  <si>
    <t>[-1, 46, 10]</t>
  </si>
  <si>
    <t>[42, 18, 62, 70]</t>
  </si>
  <si>
    <t>[-1, 12, 68, 98, 35]</t>
  </si>
  <si>
    <t>[-1, 68, 12, 98, 93]</t>
  </si>
  <si>
    <t>[12, 68, 98, 35]</t>
  </si>
  <si>
    <t>[-1, 3, 22, 16]</t>
  </si>
  <si>
    <t>[-1, 22, 16, 62]</t>
  </si>
  <si>
    <t>[3, 22, 16]</t>
  </si>
  <si>
    <t>[-1, 15, 94]</t>
  </si>
  <si>
    <t>[-1, 15, 35]</t>
  </si>
  <si>
    <t>[35, 94, 15]</t>
  </si>
  <si>
    <t>[-1, 53, 54, 49]</t>
  </si>
  <si>
    <t>[-1, 53, 49, 98, 86]</t>
  </si>
  <si>
    <t>[47, 24, 6, 62, 86, 98]</t>
  </si>
  <si>
    <t>[-1, 0, 54, 92, 16]</t>
  </si>
  <si>
    <t>[-1, 0, 16, 63, 7]</t>
  </si>
  <si>
    <t>[0, 54, 92, 16]</t>
  </si>
  <si>
    <t>[-1, 74, 62, 17, 43]</t>
  </si>
  <si>
    <t>[-1, 6, 41, 81]</t>
  </si>
  <si>
    <t>[74, 17, 62, 43]</t>
  </si>
  <si>
    <t>[-1, 99, 86, 47]</t>
  </si>
  <si>
    <t>[-1, 86, 47, 72]</t>
  </si>
  <si>
    <t>[99, 86, 47]</t>
  </si>
  <si>
    <t>[-1, 94, 7, 84, 98]</t>
  </si>
  <si>
    <t>[94, 7, 84, 98]</t>
  </si>
  <si>
    <t>[-1, 15, 0, 7, 13]</t>
  </si>
  <si>
    <t>[-1, 15, 0, 11, 12, 13]</t>
  </si>
  <si>
    <t>[-1, 15, 11, 0, 13, 12, 1, 6]</t>
  </si>
  <si>
    <t>[-1, 15, 7, 13]</t>
  </si>
  <si>
    <t>[15, 11, 0, 13, 12]</t>
  </si>
  <si>
    <t>[-1, 6, 3, 1, 8, 4, 2]</t>
  </si>
  <si>
    <t>[-1, 6, 3, 8, 1, 9]</t>
  </si>
  <si>
    <t>[-1, 6, 3, 19, 12, 17]</t>
  </si>
  <si>
    <t>[-1, 6, 19, 12, 17]</t>
  </si>
  <si>
    <t>[6, 3, 19, 12, 17]</t>
  </si>
  <si>
    <t>[-1, 10, 2, 1]</t>
  </si>
  <si>
    <t>[-1, 10, 2, 1, 19, 5, 0, 4, 6, 13, 12]</t>
  </si>
  <si>
    <t>[-1, 10, 1]</t>
  </si>
  <si>
    <t>[10, 2, 1]</t>
  </si>
  <si>
    <t>[-1, 15, 4]</t>
  </si>
  <si>
    <t>[-1, 15, 4, 16, 11, 0]</t>
  </si>
  <si>
    <t>[15, 4]</t>
  </si>
  <si>
    <t>[-1, 17]</t>
  </si>
  <si>
    <t>[-1, 17, 16, 3, 5, 0, 1, 8, 10, 11, 15]</t>
  </si>
  <si>
    <t>[17]</t>
  </si>
  <si>
    <t>[-1, 9, 13, 17, 3]</t>
  </si>
  <si>
    <t>[-1, 9, 13, 17, 3, 0, 5, 11, 4]</t>
  </si>
  <si>
    <t>[-1, 17, 3]</t>
  </si>
  <si>
    <t>[9, 13, 17, 3]</t>
  </si>
  <si>
    <t>[-1, 3, 0, 16, 17]</t>
  </si>
  <si>
    <t>[-1, 3, 14]</t>
  </si>
  <si>
    <t>[3, 14]</t>
  </si>
  <si>
    <t>[-1, 3, 6, 8, 5, 18]</t>
  </si>
  <si>
    <t>[-1, 3, 9, 12]</t>
  </si>
  <si>
    <t>[3, 8, 17]</t>
  </si>
  <si>
    <t>[-1, 13, 14, 4, 2, 9]</t>
  </si>
  <si>
    <t>[-1, 13, 14, 4, 2, 9, 3, 15, 0, 6, 16]</t>
  </si>
  <si>
    <t>[-1, 12]</t>
  </si>
  <si>
    <t>[12]</t>
  </si>
  <si>
    <t>[-1, 4, 1]</t>
  </si>
  <si>
    <t>[4, 1]</t>
  </si>
  <si>
    <t>solution_rollout k=1</t>
  </si>
  <si>
    <t>optimal_rollout k=1</t>
  </si>
  <si>
    <t>optimal_rollout k=2</t>
  </si>
  <si>
    <t>[1, 35, 33, 2]</t>
  </si>
  <si>
    <t>[22, 35, 44, 4]</t>
  </si>
  <si>
    <t>[5, 6, 40, 37, 21, 25]</t>
  </si>
  <si>
    <t>[16, 1, 8, 35]</t>
  </si>
  <si>
    <t>solution_rollout k=2</t>
  </si>
  <si>
    <t xml:space="preserve">time_taken k=1 </t>
  </si>
  <si>
    <t>time_taken k=2</t>
  </si>
  <si>
    <t>[31, 7, 36, 5, 22]</t>
  </si>
  <si>
    <t>[35, 34, 44, 20, 46]</t>
  </si>
  <si>
    <t>[11, 6, 10, 14, 43]</t>
  </si>
  <si>
    <t>[54, 40, 29, 21, 25, 58, 27]</t>
  </si>
  <si>
    <t>solution_rollout k=3</t>
  </si>
  <si>
    <t>optimal_rollout k=3</t>
  </si>
  <si>
    <t>time_taken k=3</t>
  </si>
  <si>
    <t>ilp</t>
  </si>
  <si>
    <t>-</t>
  </si>
  <si>
    <t>n-nodos</t>
  </si>
  <si>
    <t>Instancias</t>
  </si>
  <si>
    <t>Prom. T-CPU MIQCP</t>
  </si>
  <si>
    <t>Prom. T-CPU IQCP</t>
  </si>
  <si>
    <t>Prom. T-CPU ILP</t>
  </si>
  <si>
    <t>Prom. T-CPU Rollout k=1</t>
  </si>
  <si>
    <t>Prom. T-CPU Rollout k=2</t>
  </si>
  <si>
    <t>Prom. T-CPU Rollout k=3</t>
  </si>
  <si>
    <t>Greedy</t>
  </si>
  <si>
    <t>Nodos</t>
  </si>
  <si>
    <t>Prom. Nodos salvados óptimo IQCP</t>
  </si>
  <si>
    <t>Prom. Nodos salvados Rollout k=1</t>
  </si>
  <si>
    <t>Prom. Nodos salvados Rollout k=2</t>
  </si>
  <si>
    <t>Prom. Nodos salvados Rollout k=3</t>
  </si>
  <si>
    <t>GAP Rollout k=1</t>
  </si>
  <si>
    <t>GAP Rollout k=2</t>
  </si>
  <si>
    <t>GAP Rollout k=3</t>
  </si>
  <si>
    <t>Prom. T-CPU Greedy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</si>
</sst>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10" fontId="0" fillId="0" borderId="0" xfId="42" applyNumberFormat="1" applyFont="1"/>
    <xf numFmtId="0" fontId="0" fillId="33" borderId="0" xfId="0" applyFill="1"/>
    <xf numFmtId="164" fontId="0" fillId="33" borderId="0" xfId="0" applyNumberFormat="1" applyFill="1"/>
    <xf numFmtId="0" fontId="13" fillId="34" borderId="10" xfId="0" applyFont="1" applyFill="1" applyBorder="1"/>
    <xf numFmtId="0" fontId="13" fillId="34" borderId="11" xfId="0" applyFont="1" applyFill="1" applyBorder="1"/>
    <xf numFmtId="0" fontId="13" fillId="34" borderId="10" xfId="0" applyFont="1" applyFill="1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254D74-B22E-4C8F-A1B2-51BE09CCC310}" name="Table1" displayName="Table1" ref="A1:X61" totalsRowShown="0">
  <autoFilter ref="A1:X61" xr:uid="{3C254D74-B22E-4C8F-A1B2-51BE09CCC310}"/>
  <sortState xmlns:xlrd2="http://schemas.microsoft.com/office/spreadsheetml/2017/richdata2" ref="A2:X61">
    <sortCondition descending="1" ref="V1:V61"/>
  </sortState>
  <tableColumns count="24">
    <tableColumn id="1" xr3:uid="{5759678A-BE47-4D65-BDF8-D395C34814AD}" name="experiment"/>
    <tableColumn id="2" xr3:uid="{5E9EED03-5289-499E-A174-50BB28FADE41}" name="duration_dp"/>
    <tableColumn id="3" xr3:uid="{C80C7515-89D6-436F-919C-6AF397C00F5D}" name="solution_dp"/>
    <tableColumn id="4" xr3:uid="{E1A11304-49F6-4AD6-8F92-7767ACED7123}" name="optimal_dp"/>
    <tableColumn id="5" xr3:uid="{8E3B49E3-2D79-4B90-945E-45A7E04F0160}" name="duration_iqcp"/>
    <tableColumn id="6" xr3:uid="{28DDEB0A-0954-42EF-B04A-DAC2C020E672}" name="solution_iqcp"/>
    <tableColumn id="7" xr3:uid="{5BBA6983-97B4-426E-A17E-3441447CE0A6}" name="optimal_iqcp"/>
    <tableColumn id="8" xr3:uid="{5A59D3FA-2A2F-4003-B6FA-81293A282503}" name="duration"/>
    <tableColumn id="9" xr3:uid="{AD7CFA96-A2D7-44EB-9F1A-6155DE7DDC0D}" name="solution"/>
    <tableColumn id="10" xr3:uid="{B582CBB1-A5FB-4DEA-81F7-113E7901C306}" name="optimal"/>
    <tableColumn id="11" xr3:uid="{5BA02D1A-5B88-45ED-9120-39DE0819CC21}" name="duration_miqcp"/>
    <tableColumn id="12" xr3:uid="{6F565F9C-0C0F-4C28-AF1F-B2B32F28B319}" name="solution_miqcp"/>
    <tableColumn id="13" xr3:uid="{141A79D4-5A8E-4105-8CB9-73F3CEBB1788}" name="optimal_miqcp"/>
    <tableColumn id="14" xr3:uid="{7541813B-6551-4E52-8F23-60721FC5725D}" name="duration_greedy"/>
    <tableColumn id="15" xr3:uid="{61212D30-3336-4EA2-B27B-0A15F6EB6234}" name="solution_greedy"/>
    <tableColumn id="16" xr3:uid="{A6F1D4FE-82E2-4AF7-BC63-6BECD04D0948}" name="optimal_greedy"/>
    <tableColumn id="17" xr3:uid="{02E111D1-AE03-444A-92A6-CA64ACCEAE41}" name="n_nodes"/>
    <tableColumn id="18" xr3:uid="{782C7872-563B-44A7-B661-A8C0AA140563}" name="solution_rollout"/>
    <tableColumn id="19" xr3:uid="{B277C1C7-2934-46A1-9C01-5D31FD4F47B7}" name="final_damage"/>
    <tableColumn id="20" xr3:uid="{0D5982D1-2CE9-44A0-B51E-FDC41CF9FEDD}" name="time_taken"/>
    <tableColumn id="21" xr3:uid="{D14ADB38-4B2D-4A35-B21D-3C965F15F5C5}" name="optimal_rollout"/>
    <tableColumn id="22" xr3:uid="{481B373B-F643-43DC-8131-352BCB05E8D4}" name="diff_iqcp_rollout"/>
    <tableColumn id="23" xr3:uid="{399FCB13-ECFC-4559-93C6-90E0BB058A8B}" name="diff_ilp_rollout"/>
    <tableColumn id="24" xr3:uid="{18A1A0E3-C5AF-4954-8BF2-821CED4D4A6F}" name="diff_greedy_rollou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AD4B1E-3117-4F9C-9650-666CFAD4E6B8}" name="Table2" displayName="Table2" ref="A1:J61" totalsRowShown="0">
  <autoFilter ref="A1:J61" xr:uid="{7FAD4B1E-3117-4F9C-9650-666CFAD4E6B8}"/>
  <tableColumns count="10">
    <tableColumn id="1" xr3:uid="{4C44CD0F-292F-4145-B002-A4384E16A8C1}" name="experiment"/>
    <tableColumn id="2" xr3:uid="{319A4F04-EBDF-4563-B893-ED269F076512}" name="n_nodes"/>
    <tableColumn id="3" xr3:uid="{0DF0F323-D5A3-4778-8BBF-71DD7BA5CFF4}" name="optimal_dp"/>
    <tableColumn id="4" xr3:uid="{EB9CE2EC-A6A4-486B-B2B1-FF62ADB6B8C5}" name="optimal_iqcp"/>
    <tableColumn id="5" xr3:uid="{0C2EB10C-9D71-4F58-ADC6-AC1ACAAFCD21}" name="ilp"/>
    <tableColumn id="6" xr3:uid="{E8C5183A-D328-4B25-B153-24DA54743A8E}" name="optimal_miqcp"/>
    <tableColumn id="7" xr3:uid="{D566E288-C932-45A7-BA57-48782A7DC60D}" name="optimal_greedy"/>
    <tableColumn id="8" xr3:uid="{091680F5-D900-4F3C-A413-05B6DBD828B4}" name="optimal_rollout k=1"/>
    <tableColumn id="9" xr3:uid="{8622AC6C-82C5-4168-AF5F-26FEB7AB871F}" name="optimal_rollout k=2"/>
    <tableColumn id="10" xr3:uid="{424F4436-D09D-4DBC-946C-ACB76DD6CB4B}" name="optimal_rollout k=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B68C64-6124-440E-92A2-D4131A1D3C8B}" name="Table3" displayName="Table3" ref="A1:J61" totalsRowShown="0">
  <autoFilter ref="A1:J61" xr:uid="{B5B68C64-6124-440E-92A2-D4131A1D3C8B}"/>
  <tableColumns count="10">
    <tableColumn id="1" xr3:uid="{9B7B3649-34CD-4AFC-86D4-54517C7D86C0}" name="experiment"/>
    <tableColumn id="2" xr3:uid="{225B2BD4-86B6-4464-A8FD-6D68F443D079}" name="duration_dp" dataDxfId="8"/>
    <tableColumn id="3" xr3:uid="{697CC910-E953-4A4D-8E96-D2835BF4D597}" name="duration_iqcp" dataDxfId="7"/>
    <tableColumn id="4" xr3:uid="{B4721BCE-DF3A-4914-80B6-A675EB541A87}" name="duration" dataDxfId="6"/>
    <tableColumn id="5" xr3:uid="{B1EBE287-F121-425A-8AA4-B56A4BFFCA88}" name="duration_miqcp" dataDxfId="5"/>
    <tableColumn id="6" xr3:uid="{FCEAE54D-4E1C-4846-93DB-D10000FE858C}" name="duration_greedy" dataDxfId="4"/>
    <tableColumn id="7" xr3:uid="{F7A2AB17-C1DC-4CEC-99AD-53FCE51E5F5A}" name="time_taken k=1 " dataDxfId="3"/>
    <tableColumn id="8" xr3:uid="{A69926D4-6F2E-4E24-BC4D-4284E511948E}" name="time_taken k=2" dataDxfId="2"/>
    <tableColumn id="9" xr3:uid="{AF1F883F-2A64-448C-856A-6345E3DAE5F7}" name="time_taken k=3" dataDxfId="1"/>
    <tableColumn id="10" xr3:uid="{A6575AE0-92E4-4DCD-BEDB-5FC51E9FCED5}" name="n-nodos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86A449-7729-4D4F-9D66-F8949F2B7216}" name="Table4" displayName="Table4" ref="A1:J7" totalsRowShown="0" dataDxfId="20" dataCellStyle="Note">
  <autoFilter ref="A1:J7" xr:uid="{C086A449-7729-4D4F-9D66-F8949F2B7216}"/>
  <tableColumns count="10">
    <tableColumn id="1" xr3:uid="{02FF1C48-E6AC-474B-856B-356F9A7A54B9}" name="Nodos"/>
    <tableColumn id="10" xr3:uid="{2555AE67-247C-480C-83C0-2E8828885A87}" name="Instancias"/>
    <tableColumn id="2" xr3:uid="{8A1888F8-FB25-42BF-93A8-AE073014BC34}" name="Prom. Nodos salvados óptimo IQCP">
      <calculatedColumnFormula>AVERAGEIF(Table1[n_nodes],comparaciones!A2,Table1[optimal_iqcp])</calculatedColumnFormula>
    </tableColumn>
    <tableColumn id="3" xr3:uid="{B9ADF058-31B6-4E2A-925F-8303B6F068C5}" name="Greedy">
      <calculatedColumnFormula>AVERAGEIF(Table1[n_nodes],A2,Table1[optimal_greedy])</calculatedColumnFormula>
    </tableColumn>
    <tableColumn id="4" xr3:uid="{58DF5151-E8E7-4425-9B69-0F1CD4C3B98E}" name="Prom. Nodos salvados Rollout k=1">
      <calculatedColumnFormula>AVERAGEIF(Table2[n_nodes],comparaciones!A2,Table2[optimal_rollout k=1])</calculatedColumnFormula>
    </tableColumn>
    <tableColumn id="5" xr3:uid="{132554FF-6A66-474A-A2C0-99B6039C4A91}" name="Prom. Nodos salvados Rollout k=2">
      <calculatedColumnFormula>AVERAGEIF(Table2[n_nodes],comparaciones!A2,Table2[optimal_rollout k=2])</calculatedColumnFormula>
    </tableColumn>
    <tableColumn id="6" xr3:uid="{4E05EBB7-920E-471A-B6AE-17A8A864B637}" name="Prom. Nodos salvados Rollout k=3">
      <calculatedColumnFormula>AVERAGEIF(Table2[n_nodes],comparaciones!A2,Table2[optimal_rollout k=3])</calculatedColumnFormula>
    </tableColumn>
    <tableColumn id="7" xr3:uid="{120ACC31-BC2A-4C7E-9554-6C766F32C558}" name="GAP Rollout k=1" dataDxfId="19" dataCellStyle="Note">
      <calculatedColumnFormula>(C2-E2)/C2</calculatedColumnFormula>
    </tableColumn>
    <tableColumn id="8" xr3:uid="{A3D0DFB9-967C-494C-B154-85989F1058B5}" name="GAP Rollout k=2" dataDxfId="18" dataCellStyle="Note">
      <calculatedColumnFormula>(C2-F2)/C2</calculatedColumnFormula>
    </tableColumn>
    <tableColumn id="9" xr3:uid="{40B70A72-16F7-484D-AA87-02EA5A785376}" name="GAP Rollout k=3" dataDxfId="17" dataCellStyle="Note">
      <calculatedColumnFormula>(C2-G2)/C2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06E6E9-17DF-4EF7-94F1-AB0351F6F022}" name="Table5" displayName="Table5" ref="A12:I18" totalsRowShown="0">
  <autoFilter ref="A12:I18" xr:uid="{1206E6E9-17DF-4EF7-94F1-AB0351F6F022}"/>
  <tableColumns count="9">
    <tableColumn id="10" xr3:uid="{4F38B09E-335C-40D1-A742-0464C8E80B04}" name="Nodos" dataDxfId="16"/>
    <tableColumn id="1" xr3:uid="{298529A7-424C-4FCC-BACA-C7BCEC8574CC}" name="Instancias"/>
    <tableColumn id="2" xr3:uid="{65EE8A8D-6B1A-49C2-B868-7037660A664D}" name="Prom. T-CPU MIQCP" dataDxfId="15"/>
    <tableColumn id="3" xr3:uid="{C1A61343-9938-4BA9-9CC7-B1AA002BBFF1}" name="Prom. T-CPU IQCP" dataDxfId="14">
      <calculatedColumnFormula>AVERAGEIF(Table1[n_nodes],comparaciones!A13,Table1[duration_iqcp])</calculatedColumnFormula>
    </tableColumn>
    <tableColumn id="4" xr3:uid="{BD6BC4F1-90E2-4DFD-A329-E3C3D9284A8A}" name="Prom. T-CPU ILP" dataDxfId="13">
      <calculatedColumnFormula>AVERAGEIF(Table1[n_nodes],comparaciones!A13,Table1[duration])</calculatedColumnFormula>
    </tableColumn>
    <tableColumn id="5" xr3:uid="{88DD6BC2-712A-4461-8C54-0121E31A44C4}" name="Prom. T-CPU Greedy" dataDxfId="12">
      <calculatedColumnFormula>AVERAGEIF(Table1[n_nodes],comparaciones!A13,Table1[duration_greedy])</calculatedColumnFormula>
    </tableColumn>
    <tableColumn id="6" xr3:uid="{347BC6AA-D206-405A-A260-9FD1C8517608}" name="Prom. T-CPU Rollout k=1" dataDxfId="11">
      <calculatedColumnFormula>AVERAGEIF(Table3[n-nodos],comparaciones!A13,Table3[time_taken k=1 ])</calculatedColumnFormula>
    </tableColumn>
    <tableColumn id="7" xr3:uid="{106A21CC-73B0-4703-990D-D16618F55B35}" name="Prom. T-CPU Rollout k=2" dataDxfId="10">
      <calculatedColumnFormula>AVERAGEIF(Table3[n-nodos],A13,Table3[time_taken k=2])</calculatedColumnFormula>
    </tableColumn>
    <tableColumn id="8" xr3:uid="{05517BF5-6A43-451D-A14D-B1DB21CDE54C}" name="Prom. T-CPU Rollout k=3" dataDxfId="9">
      <calculatedColumnFormula>AVERAGEIF(Table3[n-nodos],A13,Table3[time_taken k=3])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0B8A4-A191-40D2-9283-721E3D0E4F06}">
  <dimension ref="A1:X61"/>
  <sheetViews>
    <sheetView topLeftCell="C31" workbookViewId="0">
      <selection activeCell="E61" sqref="E61"/>
    </sheetView>
  </sheetViews>
  <sheetFormatPr defaultRowHeight="14.5" x14ac:dyDescent="0.35"/>
  <cols>
    <col min="1" max="1" width="13.54296875" customWidth="1"/>
    <col min="2" max="2" width="13.81640625" customWidth="1"/>
    <col min="3" max="3" width="13.7265625" customWidth="1"/>
    <col min="4" max="4" width="13.1796875" customWidth="1"/>
    <col min="5" max="5" width="15.453125" customWidth="1"/>
    <col min="6" max="6" width="15.26953125" customWidth="1"/>
    <col min="7" max="7" width="14.7265625" customWidth="1"/>
    <col min="8" max="8" width="10.7265625" customWidth="1"/>
    <col min="9" max="9" width="10.54296875" customWidth="1"/>
    <col min="10" max="10" width="10" customWidth="1"/>
    <col min="11" max="11" width="17.1796875" customWidth="1"/>
    <col min="12" max="12" width="17" customWidth="1"/>
    <col min="13" max="13" width="16.453125" customWidth="1"/>
    <col min="14" max="14" width="17.7265625" customWidth="1"/>
    <col min="15" max="15" width="17.54296875" customWidth="1"/>
    <col min="16" max="16" width="17" customWidth="1"/>
    <col min="17" max="17" width="10.7265625" customWidth="1"/>
    <col min="18" max="18" width="17.453125" customWidth="1"/>
    <col min="19" max="19" width="15" customWidth="1"/>
    <col min="20" max="20" width="13.1796875" customWidth="1"/>
    <col min="21" max="21" width="16.81640625" customWidth="1"/>
    <col min="22" max="22" width="17.81640625" customWidth="1"/>
    <col min="23" max="23" width="16.26953125" customWidth="1"/>
    <col min="24" max="24" width="20.179687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>
        <v>1</v>
      </c>
      <c r="B2">
        <v>0.17613744735717701</v>
      </c>
      <c r="C2" t="s">
        <v>24</v>
      </c>
      <c r="D2">
        <v>16</v>
      </c>
      <c r="E2">
        <v>13.040886640548701</v>
      </c>
      <c r="F2" t="s">
        <v>24</v>
      </c>
      <c r="G2">
        <v>16</v>
      </c>
      <c r="H2">
        <v>47.8435056209564</v>
      </c>
      <c r="I2" t="s">
        <v>25</v>
      </c>
      <c r="J2">
        <v>16</v>
      </c>
      <c r="K2">
        <v>23232.2081673145</v>
      </c>
      <c r="L2" t="s">
        <v>26</v>
      </c>
      <c r="M2">
        <v>16</v>
      </c>
      <c r="N2">
        <v>1.48313045501708E-2</v>
      </c>
      <c r="O2" t="s">
        <v>24</v>
      </c>
      <c r="P2">
        <v>16</v>
      </c>
      <c r="Q2">
        <v>25</v>
      </c>
      <c r="R2" t="s">
        <v>27</v>
      </c>
      <c r="S2">
        <v>9</v>
      </c>
      <c r="T2">
        <v>0.109712528000045</v>
      </c>
      <c r="U2">
        <v>16</v>
      </c>
      <c r="V2">
        <v>0</v>
      </c>
      <c r="W2">
        <v>0</v>
      </c>
      <c r="X2">
        <v>0</v>
      </c>
    </row>
    <row r="3" spans="1:24" x14ac:dyDescent="0.35">
      <c r="A3">
        <v>2</v>
      </c>
      <c r="B3">
        <v>0.155776977539062</v>
      </c>
      <c r="C3" t="s">
        <v>28</v>
      </c>
      <c r="D3">
        <v>20</v>
      </c>
      <c r="E3">
        <v>5.0183191299438397</v>
      </c>
      <c r="F3" t="s">
        <v>29</v>
      </c>
      <c r="G3">
        <v>20</v>
      </c>
      <c r="H3">
        <v>17.926093339920001</v>
      </c>
      <c r="I3" t="s">
        <v>29</v>
      </c>
      <c r="J3">
        <v>20</v>
      </c>
      <c r="K3">
        <v>86400.072399616198</v>
      </c>
      <c r="N3">
        <v>4.5094490051269497E-3</v>
      </c>
      <c r="O3" t="s">
        <v>30</v>
      </c>
      <c r="P3">
        <v>19</v>
      </c>
      <c r="Q3">
        <v>25</v>
      </c>
      <c r="R3" t="s">
        <v>31</v>
      </c>
      <c r="S3">
        <v>5</v>
      </c>
      <c r="T3">
        <v>0.11747763900007099</v>
      </c>
      <c r="U3">
        <v>20</v>
      </c>
      <c r="V3">
        <v>0</v>
      </c>
      <c r="W3">
        <v>0</v>
      </c>
      <c r="X3">
        <v>1</v>
      </c>
    </row>
    <row r="4" spans="1:24" x14ac:dyDescent="0.35">
      <c r="A4">
        <v>3</v>
      </c>
      <c r="B4">
        <v>3.4204645156860298</v>
      </c>
      <c r="C4" t="s">
        <v>32</v>
      </c>
      <c r="D4">
        <v>21</v>
      </c>
      <c r="E4">
        <v>10.010939359664899</v>
      </c>
      <c r="F4" t="s">
        <v>32</v>
      </c>
      <c r="G4">
        <v>21</v>
      </c>
      <c r="H4">
        <v>17.008090019226</v>
      </c>
      <c r="I4" t="s">
        <v>32</v>
      </c>
      <c r="J4">
        <v>21</v>
      </c>
      <c r="K4">
        <v>1425.4224481582601</v>
      </c>
      <c r="L4" t="s">
        <v>32</v>
      </c>
      <c r="M4">
        <v>21</v>
      </c>
      <c r="N4">
        <v>4.02426719665527E-3</v>
      </c>
      <c r="O4" t="s">
        <v>32</v>
      </c>
      <c r="P4">
        <v>21</v>
      </c>
      <c r="Q4">
        <v>25</v>
      </c>
      <c r="R4" t="s">
        <v>33</v>
      </c>
      <c r="S4">
        <v>4</v>
      </c>
      <c r="T4">
        <v>8.4758129999954607E-2</v>
      </c>
      <c r="U4">
        <v>21</v>
      </c>
      <c r="V4">
        <v>0</v>
      </c>
      <c r="W4">
        <v>0</v>
      </c>
      <c r="X4">
        <v>0</v>
      </c>
    </row>
    <row r="5" spans="1:24" x14ac:dyDescent="0.35">
      <c r="A5">
        <v>5</v>
      </c>
      <c r="B5">
        <v>1.79218649864196</v>
      </c>
      <c r="C5" t="s">
        <v>38</v>
      </c>
      <c r="D5">
        <v>22</v>
      </c>
      <c r="E5">
        <v>10.0670824050903</v>
      </c>
      <c r="F5" t="s">
        <v>38</v>
      </c>
      <c r="G5">
        <v>22</v>
      </c>
      <c r="H5">
        <v>20.0004465579986</v>
      </c>
      <c r="I5" t="s">
        <v>38</v>
      </c>
      <c r="J5">
        <v>22</v>
      </c>
      <c r="K5">
        <v>43438.653435230197</v>
      </c>
      <c r="L5" t="s">
        <v>39</v>
      </c>
      <c r="M5">
        <v>22</v>
      </c>
      <c r="N5">
        <v>4.1453838348388602E-3</v>
      </c>
      <c r="O5" t="s">
        <v>38</v>
      </c>
      <c r="P5">
        <v>22</v>
      </c>
      <c r="Q5">
        <v>25</v>
      </c>
      <c r="R5" t="s">
        <v>40</v>
      </c>
      <c r="S5">
        <v>3</v>
      </c>
      <c r="T5">
        <v>6.33881060000476E-2</v>
      </c>
      <c r="U5">
        <v>22</v>
      </c>
      <c r="V5">
        <v>0</v>
      </c>
      <c r="W5">
        <v>0</v>
      </c>
      <c r="X5">
        <v>0</v>
      </c>
    </row>
    <row r="6" spans="1:24" x14ac:dyDescent="0.35">
      <c r="A6">
        <v>6</v>
      </c>
      <c r="B6">
        <v>0.19284844398498499</v>
      </c>
      <c r="C6" t="s">
        <v>41</v>
      </c>
      <c r="D6">
        <v>19</v>
      </c>
      <c r="E6">
        <v>10.538142442703201</v>
      </c>
      <c r="F6" t="s">
        <v>41</v>
      </c>
      <c r="G6">
        <v>19</v>
      </c>
      <c r="H6">
        <v>37.179535388946498</v>
      </c>
      <c r="I6" t="s">
        <v>41</v>
      </c>
      <c r="J6">
        <v>19</v>
      </c>
      <c r="K6">
        <v>86400.035922765703</v>
      </c>
      <c r="N6">
        <v>4.6305656433105399E-3</v>
      </c>
      <c r="O6" t="s">
        <v>41</v>
      </c>
      <c r="P6">
        <v>19</v>
      </c>
      <c r="Q6">
        <v>25</v>
      </c>
      <c r="R6" t="s">
        <v>42</v>
      </c>
      <c r="S6">
        <v>6</v>
      </c>
      <c r="T6">
        <v>6.5004193000049698E-2</v>
      </c>
      <c r="U6">
        <v>19</v>
      </c>
      <c r="V6">
        <v>0</v>
      </c>
      <c r="W6">
        <v>0</v>
      </c>
      <c r="X6">
        <v>0</v>
      </c>
    </row>
    <row r="7" spans="1:24" x14ac:dyDescent="0.35">
      <c r="A7">
        <v>7</v>
      </c>
      <c r="B7">
        <v>2.04270243644714</v>
      </c>
      <c r="C7" t="s">
        <v>43</v>
      </c>
      <c r="D7">
        <v>18</v>
      </c>
      <c r="E7">
        <v>13.6858465671539</v>
      </c>
      <c r="F7" t="s">
        <v>44</v>
      </c>
      <c r="G7">
        <v>18</v>
      </c>
      <c r="H7">
        <v>43.679955959319997</v>
      </c>
      <c r="I7" t="s">
        <v>45</v>
      </c>
      <c r="J7">
        <v>18</v>
      </c>
      <c r="K7">
        <v>86400.141284465702</v>
      </c>
      <c r="N7">
        <v>4.2986869812011701E-3</v>
      </c>
      <c r="O7" t="s">
        <v>46</v>
      </c>
      <c r="P7">
        <v>18</v>
      </c>
      <c r="Q7">
        <v>25</v>
      </c>
      <c r="R7" t="s">
        <v>47</v>
      </c>
      <c r="S7">
        <v>7</v>
      </c>
      <c r="T7">
        <v>7.2989716000165503E-2</v>
      </c>
      <c r="U7">
        <v>18</v>
      </c>
      <c r="V7">
        <v>0</v>
      </c>
      <c r="W7">
        <v>0</v>
      </c>
      <c r="X7">
        <v>0</v>
      </c>
    </row>
    <row r="8" spans="1:24" x14ac:dyDescent="0.35">
      <c r="A8">
        <v>8</v>
      </c>
      <c r="B8">
        <v>1.88013172149658</v>
      </c>
      <c r="C8" t="s">
        <v>48</v>
      </c>
      <c r="D8">
        <v>19</v>
      </c>
      <c r="E8">
        <v>15.0325124263763</v>
      </c>
      <c r="F8" t="s">
        <v>49</v>
      </c>
      <c r="G8">
        <v>19</v>
      </c>
      <c r="H8">
        <v>35.265093088150003</v>
      </c>
      <c r="I8" t="s">
        <v>49</v>
      </c>
      <c r="J8">
        <v>19</v>
      </c>
      <c r="K8">
        <v>86400.195896625504</v>
      </c>
      <c r="N8">
        <v>4.3210983276367101E-3</v>
      </c>
      <c r="O8" t="s">
        <v>49</v>
      </c>
      <c r="P8">
        <v>19</v>
      </c>
      <c r="Q8">
        <v>25</v>
      </c>
      <c r="R8" t="s">
        <v>50</v>
      </c>
      <c r="S8">
        <v>6</v>
      </c>
      <c r="T8">
        <v>8.1918735000044707E-2</v>
      </c>
      <c r="U8">
        <v>19</v>
      </c>
      <c r="V8">
        <v>0</v>
      </c>
      <c r="W8">
        <v>0</v>
      </c>
      <c r="X8">
        <v>0</v>
      </c>
    </row>
    <row r="9" spans="1:24" x14ac:dyDescent="0.35">
      <c r="A9">
        <v>9</v>
      </c>
      <c r="B9">
        <v>0.31319165229797302</v>
      </c>
      <c r="C9" t="s">
        <v>51</v>
      </c>
      <c r="D9">
        <v>18</v>
      </c>
      <c r="E9">
        <v>27.342374086380001</v>
      </c>
      <c r="F9" t="s">
        <v>52</v>
      </c>
      <c r="G9">
        <v>18</v>
      </c>
      <c r="H9">
        <v>46.145465373992899</v>
      </c>
      <c r="I9" t="s">
        <v>53</v>
      </c>
      <c r="J9">
        <v>18</v>
      </c>
      <c r="K9">
        <v>86400.132020473393</v>
      </c>
      <c r="N9">
        <v>4.4243335723876901E-3</v>
      </c>
      <c r="O9" t="s">
        <v>53</v>
      </c>
      <c r="P9">
        <v>18</v>
      </c>
      <c r="Q9">
        <v>25</v>
      </c>
      <c r="R9" t="s">
        <v>54</v>
      </c>
      <c r="S9">
        <v>7</v>
      </c>
      <c r="T9">
        <v>8.2151050999982503E-2</v>
      </c>
      <c r="U9">
        <v>18</v>
      </c>
      <c r="V9">
        <v>0</v>
      </c>
      <c r="W9">
        <v>0</v>
      </c>
      <c r="X9">
        <v>0</v>
      </c>
    </row>
    <row r="10" spans="1:24" s="3" customFormat="1" x14ac:dyDescent="0.35">
      <c r="A10" s="3">
        <v>10</v>
      </c>
      <c r="B10" s="3">
        <v>0.11955213546752901</v>
      </c>
      <c r="C10" s="3" t="s">
        <v>55</v>
      </c>
      <c r="D10" s="3">
        <v>20</v>
      </c>
      <c r="E10" s="3">
        <v>8.4801874160766602</v>
      </c>
      <c r="F10" s="3" t="s">
        <v>56</v>
      </c>
      <c r="G10" s="3">
        <v>20</v>
      </c>
      <c r="H10" s="3">
        <v>30.6950695514678</v>
      </c>
      <c r="I10" s="3" t="s">
        <v>56</v>
      </c>
      <c r="J10" s="3">
        <v>20</v>
      </c>
      <c r="K10" s="3">
        <v>86400.117207765506</v>
      </c>
      <c r="N10" s="3">
        <v>4.1575431823730399E-3</v>
      </c>
      <c r="O10" s="3" t="s">
        <v>57</v>
      </c>
      <c r="P10" s="3">
        <v>12</v>
      </c>
      <c r="Q10" s="3">
        <v>25</v>
      </c>
      <c r="R10" s="3" t="s">
        <v>58</v>
      </c>
      <c r="S10" s="3">
        <v>5</v>
      </c>
      <c r="T10" s="3">
        <v>8.0581652000091694E-2</v>
      </c>
      <c r="U10" s="3">
        <v>20</v>
      </c>
      <c r="V10" s="3">
        <v>0</v>
      </c>
      <c r="W10" s="3">
        <v>0</v>
      </c>
      <c r="X10" s="3">
        <v>8</v>
      </c>
    </row>
    <row r="11" spans="1:24" x14ac:dyDescent="0.35">
      <c r="A11">
        <v>11</v>
      </c>
      <c r="B11">
        <v>756.54569530487004</v>
      </c>
      <c r="C11" t="s">
        <v>59</v>
      </c>
      <c r="D11">
        <v>36</v>
      </c>
      <c r="E11">
        <v>78.926250696182194</v>
      </c>
      <c r="F11" t="s">
        <v>60</v>
      </c>
      <c r="G11">
        <v>36</v>
      </c>
      <c r="H11">
        <v>336.39172744750903</v>
      </c>
      <c r="I11" t="s">
        <v>61</v>
      </c>
      <c r="J11">
        <v>36</v>
      </c>
      <c r="N11">
        <v>5.05590438842773E-3</v>
      </c>
      <c r="O11" t="s">
        <v>62</v>
      </c>
      <c r="P11">
        <v>31</v>
      </c>
      <c r="Q11">
        <v>40</v>
      </c>
      <c r="R11" t="s">
        <v>63</v>
      </c>
      <c r="S11">
        <v>4</v>
      </c>
      <c r="T11">
        <v>0.50610813200000804</v>
      </c>
      <c r="U11">
        <v>36</v>
      </c>
      <c r="V11">
        <v>0</v>
      </c>
      <c r="W11">
        <v>0</v>
      </c>
      <c r="X11">
        <v>5</v>
      </c>
    </row>
    <row r="12" spans="1:24" x14ac:dyDescent="0.35">
      <c r="A12">
        <v>12</v>
      </c>
      <c r="B12">
        <v>10313.590175151799</v>
      </c>
      <c r="C12" t="s">
        <v>64</v>
      </c>
      <c r="D12">
        <v>36</v>
      </c>
      <c r="E12">
        <v>57.669784307479802</v>
      </c>
      <c r="F12" t="s">
        <v>64</v>
      </c>
      <c r="G12">
        <v>36</v>
      </c>
      <c r="H12">
        <v>124.701942443847</v>
      </c>
      <c r="I12" t="s">
        <v>64</v>
      </c>
      <c r="J12">
        <v>36</v>
      </c>
      <c r="N12">
        <v>4.7380924224853498E-3</v>
      </c>
      <c r="O12" t="s">
        <v>64</v>
      </c>
      <c r="P12">
        <v>36</v>
      </c>
      <c r="Q12">
        <v>40</v>
      </c>
      <c r="R12" t="s">
        <v>65</v>
      </c>
      <c r="S12">
        <v>4</v>
      </c>
      <c r="T12">
        <v>0.53833238099991798</v>
      </c>
      <c r="U12">
        <v>36</v>
      </c>
      <c r="V12">
        <v>0</v>
      </c>
      <c r="W12">
        <v>0</v>
      </c>
      <c r="X12">
        <v>0</v>
      </c>
    </row>
    <row r="13" spans="1:24" x14ac:dyDescent="0.35">
      <c r="A13">
        <v>13</v>
      </c>
      <c r="B13">
        <v>86400.276016235293</v>
      </c>
      <c r="E13">
        <v>92.590262651443396</v>
      </c>
      <c r="F13" t="s">
        <v>46</v>
      </c>
      <c r="G13">
        <v>38</v>
      </c>
      <c r="H13">
        <v>196.18166255950899</v>
      </c>
      <c r="I13" t="s">
        <v>66</v>
      </c>
      <c r="J13">
        <v>38</v>
      </c>
      <c r="N13">
        <v>4.8034191131591797E-3</v>
      </c>
      <c r="O13" t="s">
        <v>66</v>
      </c>
      <c r="P13">
        <v>38</v>
      </c>
      <c r="Q13">
        <v>40</v>
      </c>
      <c r="R13" t="s">
        <v>67</v>
      </c>
      <c r="S13">
        <v>2</v>
      </c>
      <c r="T13">
        <v>0.60947377500019595</v>
      </c>
      <c r="U13">
        <v>38</v>
      </c>
      <c r="V13">
        <v>0</v>
      </c>
      <c r="W13">
        <v>0</v>
      </c>
      <c r="X13">
        <v>0</v>
      </c>
    </row>
    <row r="14" spans="1:24" x14ac:dyDescent="0.35">
      <c r="A14">
        <v>14</v>
      </c>
      <c r="B14">
        <v>2821.6056025028201</v>
      </c>
      <c r="C14" t="s">
        <v>68</v>
      </c>
      <c r="D14">
        <v>39</v>
      </c>
      <c r="E14">
        <v>49.555662393569897</v>
      </c>
      <c r="F14" t="s">
        <v>68</v>
      </c>
      <c r="G14">
        <v>39</v>
      </c>
      <c r="H14">
        <v>110.51520371437</v>
      </c>
      <c r="I14" t="s">
        <v>69</v>
      </c>
      <c r="J14">
        <v>39</v>
      </c>
      <c r="N14">
        <v>5.0327777862548802E-3</v>
      </c>
      <c r="O14" t="s">
        <v>68</v>
      </c>
      <c r="P14">
        <v>39</v>
      </c>
      <c r="Q14">
        <v>40</v>
      </c>
      <c r="R14" t="s">
        <v>70</v>
      </c>
      <c r="S14">
        <v>1</v>
      </c>
      <c r="T14">
        <v>0.25606458300012402</v>
      </c>
      <c r="U14">
        <v>39</v>
      </c>
      <c r="V14">
        <v>0</v>
      </c>
      <c r="W14">
        <v>0</v>
      </c>
      <c r="X14">
        <v>0</v>
      </c>
    </row>
    <row r="15" spans="1:24" x14ac:dyDescent="0.35">
      <c r="A15">
        <v>15</v>
      </c>
      <c r="B15">
        <v>19938.966321229898</v>
      </c>
      <c r="C15" t="s">
        <v>71</v>
      </c>
      <c r="D15">
        <v>36</v>
      </c>
      <c r="E15">
        <v>68.489382982254</v>
      </c>
      <c r="F15" t="s">
        <v>71</v>
      </c>
      <c r="G15">
        <v>36</v>
      </c>
      <c r="H15">
        <v>240.73659229278499</v>
      </c>
      <c r="I15" t="s">
        <v>71</v>
      </c>
      <c r="J15">
        <v>36</v>
      </c>
      <c r="N15">
        <v>4.9045085906982396E-3</v>
      </c>
      <c r="O15" t="s">
        <v>71</v>
      </c>
      <c r="P15">
        <v>36</v>
      </c>
      <c r="Q15">
        <v>40</v>
      </c>
      <c r="R15" t="s">
        <v>72</v>
      </c>
      <c r="S15">
        <v>4</v>
      </c>
      <c r="T15">
        <v>0.356578517999878</v>
      </c>
      <c r="U15">
        <v>36</v>
      </c>
      <c r="V15">
        <v>0</v>
      </c>
      <c r="W15">
        <v>0</v>
      </c>
      <c r="X15">
        <v>0</v>
      </c>
    </row>
    <row r="16" spans="1:24" x14ac:dyDescent="0.35">
      <c r="A16">
        <v>16</v>
      </c>
      <c r="B16">
        <v>430.32573366165099</v>
      </c>
      <c r="C16" t="s">
        <v>73</v>
      </c>
      <c r="D16">
        <v>34</v>
      </c>
      <c r="E16">
        <v>58.673640489578197</v>
      </c>
      <c r="F16" t="s">
        <v>74</v>
      </c>
      <c r="G16">
        <v>34</v>
      </c>
      <c r="H16">
        <v>262.88486266136101</v>
      </c>
      <c r="I16" t="s">
        <v>75</v>
      </c>
      <c r="J16">
        <v>34</v>
      </c>
      <c r="N16">
        <v>4.8835277557373004E-3</v>
      </c>
      <c r="O16" t="s">
        <v>76</v>
      </c>
      <c r="P16">
        <v>33</v>
      </c>
      <c r="Q16">
        <v>40</v>
      </c>
      <c r="R16" t="s">
        <v>77</v>
      </c>
      <c r="S16">
        <v>6</v>
      </c>
      <c r="T16">
        <v>0.61351310500003797</v>
      </c>
      <c r="U16">
        <v>34</v>
      </c>
      <c r="V16">
        <v>0</v>
      </c>
      <c r="W16">
        <v>0</v>
      </c>
      <c r="X16">
        <v>1</v>
      </c>
    </row>
    <row r="17" spans="1:24" x14ac:dyDescent="0.35">
      <c r="A17">
        <v>18</v>
      </c>
      <c r="B17">
        <v>3804.9753289222699</v>
      </c>
      <c r="C17" t="s">
        <v>82</v>
      </c>
      <c r="D17">
        <v>38</v>
      </c>
      <c r="E17">
        <v>57.792312145233097</v>
      </c>
      <c r="F17" t="s">
        <v>83</v>
      </c>
      <c r="G17">
        <v>38</v>
      </c>
      <c r="H17">
        <v>132.336965322494</v>
      </c>
      <c r="I17" t="s">
        <v>83</v>
      </c>
      <c r="J17">
        <v>38</v>
      </c>
      <c r="N17">
        <v>5.3415298461914002E-3</v>
      </c>
      <c r="O17" t="s">
        <v>82</v>
      </c>
      <c r="P17">
        <v>38</v>
      </c>
      <c r="Q17">
        <v>40</v>
      </c>
      <c r="R17" t="s">
        <v>84</v>
      </c>
      <c r="S17">
        <v>2</v>
      </c>
      <c r="T17">
        <v>0.426446207000026</v>
      </c>
      <c r="U17">
        <v>38</v>
      </c>
      <c r="V17">
        <v>0</v>
      </c>
      <c r="W17">
        <v>0</v>
      </c>
      <c r="X17">
        <v>0</v>
      </c>
    </row>
    <row r="18" spans="1:24" x14ac:dyDescent="0.35">
      <c r="A18">
        <v>19</v>
      </c>
      <c r="B18">
        <v>4533.96942925453</v>
      </c>
      <c r="C18" t="s">
        <v>85</v>
      </c>
      <c r="D18">
        <v>34</v>
      </c>
      <c r="E18">
        <v>43.429264545440603</v>
      </c>
      <c r="F18" t="s">
        <v>86</v>
      </c>
      <c r="G18">
        <v>34</v>
      </c>
      <c r="H18">
        <v>184.54431152343699</v>
      </c>
      <c r="I18" t="s">
        <v>86</v>
      </c>
      <c r="J18">
        <v>34</v>
      </c>
      <c r="N18">
        <v>4.7674179077148403E-3</v>
      </c>
      <c r="O18" t="s">
        <v>86</v>
      </c>
      <c r="P18">
        <v>34</v>
      </c>
      <c r="Q18">
        <v>40</v>
      </c>
      <c r="R18" t="s">
        <v>87</v>
      </c>
      <c r="S18">
        <v>6</v>
      </c>
      <c r="T18">
        <v>0.31949646999987602</v>
      </c>
      <c r="U18">
        <v>34</v>
      </c>
      <c r="V18">
        <v>0</v>
      </c>
      <c r="W18">
        <v>0</v>
      </c>
      <c r="X18">
        <v>0</v>
      </c>
    </row>
    <row r="19" spans="1:24" x14ac:dyDescent="0.35">
      <c r="A19">
        <v>20</v>
      </c>
      <c r="B19">
        <v>86402.942539453506</v>
      </c>
      <c r="E19">
        <v>75.783718585968003</v>
      </c>
      <c r="F19" t="s">
        <v>88</v>
      </c>
      <c r="G19">
        <v>36</v>
      </c>
      <c r="H19">
        <v>272.98981332778902</v>
      </c>
      <c r="I19" t="s">
        <v>88</v>
      </c>
      <c r="J19">
        <v>36</v>
      </c>
      <c r="N19">
        <v>4.8246383666992101E-3</v>
      </c>
      <c r="O19" t="s">
        <v>88</v>
      </c>
      <c r="P19">
        <v>36</v>
      </c>
      <c r="Q19">
        <v>40</v>
      </c>
      <c r="R19" t="s">
        <v>89</v>
      </c>
      <c r="S19">
        <v>4</v>
      </c>
      <c r="T19">
        <v>1.0512129579999501</v>
      </c>
      <c r="U19">
        <v>36</v>
      </c>
      <c r="V19">
        <v>0</v>
      </c>
      <c r="W19">
        <v>0</v>
      </c>
      <c r="X19">
        <v>0</v>
      </c>
    </row>
    <row r="20" spans="1:24" x14ac:dyDescent="0.35">
      <c r="A20">
        <v>21</v>
      </c>
      <c r="E20">
        <v>148.485704660415</v>
      </c>
      <c r="F20" t="s">
        <v>90</v>
      </c>
      <c r="G20">
        <v>46</v>
      </c>
      <c r="H20">
        <v>742.771787166595</v>
      </c>
      <c r="I20" t="s">
        <v>90</v>
      </c>
      <c r="J20">
        <v>46</v>
      </c>
      <c r="N20">
        <v>5.3641796112060504E-3</v>
      </c>
      <c r="O20" t="s">
        <v>90</v>
      </c>
      <c r="P20">
        <v>46</v>
      </c>
      <c r="Q20">
        <v>50</v>
      </c>
      <c r="R20" t="s">
        <v>91</v>
      </c>
      <c r="S20">
        <v>4</v>
      </c>
      <c r="T20">
        <v>0.70838133100005496</v>
      </c>
      <c r="U20">
        <v>46</v>
      </c>
      <c r="V20">
        <v>0</v>
      </c>
      <c r="W20">
        <v>0</v>
      </c>
      <c r="X20">
        <v>0</v>
      </c>
    </row>
    <row r="21" spans="1:24" x14ac:dyDescent="0.35">
      <c r="A21">
        <v>22</v>
      </c>
      <c r="E21">
        <v>68.101652383804307</v>
      </c>
      <c r="F21" t="s">
        <v>92</v>
      </c>
      <c r="G21">
        <v>49</v>
      </c>
      <c r="H21">
        <v>188.78203177451999</v>
      </c>
      <c r="I21" t="s">
        <v>92</v>
      </c>
      <c r="J21">
        <v>49</v>
      </c>
      <c r="N21">
        <v>5.5255889892578099E-3</v>
      </c>
      <c r="O21" t="s">
        <v>93</v>
      </c>
      <c r="P21">
        <v>48</v>
      </c>
      <c r="Q21">
        <v>50</v>
      </c>
      <c r="R21" t="s">
        <v>94</v>
      </c>
      <c r="S21">
        <v>1</v>
      </c>
      <c r="T21">
        <v>2.0549782129999099</v>
      </c>
      <c r="U21">
        <v>49</v>
      </c>
      <c r="V21">
        <v>0</v>
      </c>
      <c r="W21">
        <v>0</v>
      </c>
      <c r="X21">
        <v>1</v>
      </c>
    </row>
    <row r="22" spans="1:24" x14ac:dyDescent="0.35">
      <c r="A22">
        <v>24</v>
      </c>
      <c r="E22">
        <v>132.75861263275101</v>
      </c>
      <c r="F22" t="s">
        <v>99</v>
      </c>
      <c r="G22">
        <v>48</v>
      </c>
      <c r="H22">
        <v>429.64812469482399</v>
      </c>
      <c r="I22" t="s">
        <v>100</v>
      </c>
      <c r="J22">
        <v>48</v>
      </c>
      <c r="N22">
        <v>6.07061386108398E-3</v>
      </c>
      <c r="O22" t="s">
        <v>101</v>
      </c>
      <c r="P22">
        <v>46</v>
      </c>
      <c r="Q22">
        <v>50</v>
      </c>
      <c r="R22" t="s">
        <v>102</v>
      </c>
      <c r="S22">
        <v>2</v>
      </c>
      <c r="T22">
        <v>1.69500520700012</v>
      </c>
      <c r="U22">
        <v>48</v>
      </c>
      <c r="V22">
        <v>0</v>
      </c>
      <c r="W22">
        <v>0</v>
      </c>
      <c r="X22">
        <v>2</v>
      </c>
    </row>
    <row r="23" spans="1:24" x14ac:dyDescent="0.35">
      <c r="A23">
        <v>26</v>
      </c>
      <c r="E23">
        <v>130.107779741287</v>
      </c>
      <c r="F23" t="s">
        <v>107</v>
      </c>
      <c r="G23">
        <v>45</v>
      </c>
      <c r="H23">
        <v>602.71774530410698</v>
      </c>
      <c r="I23" t="s">
        <v>107</v>
      </c>
      <c r="J23">
        <v>45</v>
      </c>
      <c r="N23">
        <v>5.63573837280273E-3</v>
      </c>
      <c r="O23" t="s">
        <v>108</v>
      </c>
      <c r="P23">
        <v>44</v>
      </c>
      <c r="Q23">
        <v>50</v>
      </c>
      <c r="R23" t="s">
        <v>109</v>
      </c>
      <c r="S23">
        <v>5</v>
      </c>
      <c r="T23">
        <v>1.50162551900007</v>
      </c>
      <c r="U23">
        <v>45</v>
      </c>
      <c r="V23">
        <v>0</v>
      </c>
      <c r="W23">
        <v>0</v>
      </c>
      <c r="X23">
        <v>1</v>
      </c>
    </row>
    <row r="24" spans="1:24" x14ac:dyDescent="0.35">
      <c r="A24">
        <v>27</v>
      </c>
      <c r="E24">
        <v>163.08274078369101</v>
      </c>
      <c r="F24" t="s">
        <v>110</v>
      </c>
      <c r="G24">
        <v>46</v>
      </c>
      <c r="H24">
        <v>833.21767520904496</v>
      </c>
      <c r="I24" t="s">
        <v>110</v>
      </c>
      <c r="J24">
        <v>46</v>
      </c>
      <c r="N24">
        <v>5.7203769683837804E-3</v>
      </c>
      <c r="O24" t="s">
        <v>110</v>
      </c>
      <c r="P24">
        <v>46</v>
      </c>
      <c r="Q24">
        <v>50</v>
      </c>
      <c r="R24" t="s">
        <v>111</v>
      </c>
      <c r="S24">
        <v>4</v>
      </c>
      <c r="T24">
        <v>0.66271328199991297</v>
      </c>
      <c r="U24">
        <v>46</v>
      </c>
      <c r="V24">
        <v>0</v>
      </c>
      <c r="W24">
        <v>0</v>
      </c>
      <c r="X24">
        <v>0</v>
      </c>
    </row>
    <row r="25" spans="1:24" x14ac:dyDescent="0.35">
      <c r="A25">
        <v>29</v>
      </c>
      <c r="B25">
        <v>86400.255258798599</v>
      </c>
      <c r="E25">
        <v>116.93431019783</v>
      </c>
      <c r="F25" t="s">
        <v>115</v>
      </c>
      <c r="G25">
        <v>47</v>
      </c>
      <c r="H25">
        <v>448.17441725730799</v>
      </c>
      <c r="I25" t="s">
        <v>116</v>
      </c>
      <c r="J25">
        <v>47</v>
      </c>
      <c r="N25">
        <v>5.5742263793945304E-3</v>
      </c>
      <c r="O25" t="s">
        <v>116</v>
      </c>
      <c r="P25">
        <v>47</v>
      </c>
      <c r="Q25">
        <v>50</v>
      </c>
      <c r="R25" t="s">
        <v>117</v>
      </c>
      <c r="S25">
        <v>3</v>
      </c>
      <c r="T25">
        <v>1.41241701600006</v>
      </c>
      <c r="U25">
        <v>47</v>
      </c>
      <c r="V25">
        <v>0</v>
      </c>
      <c r="W25">
        <v>0</v>
      </c>
      <c r="X25">
        <v>0</v>
      </c>
    </row>
    <row r="26" spans="1:24" x14ac:dyDescent="0.35">
      <c r="A26">
        <v>30</v>
      </c>
      <c r="B26">
        <v>86400.260275602297</v>
      </c>
      <c r="E26">
        <v>155.38067221641501</v>
      </c>
      <c r="F26" t="s">
        <v>118</v>
      </c>
      <c r="G26">
        <v>44</v>
      </c>
      <c r="H26">
        <v>761.49398493766705</v>
      </c>
      <c r="I26" t="s">
        <v>118</v>
      </c>
      <c r="J26">
        <v>44</v>
      </c>
      <c r="N26">
        <v>6.0241222381591797E-3</v>
      </c>
      <c r="O26" t="s">
        <v>118</v>
      </c>
      <c r="P26">
        <v>44</v>
      </c>
      <c r="Q26">
        <v>50</v>
      </c>
      <c r="R26" t="s">
        <v>119</v>
      </c>
      <c r="S26">
        <v>6</v>
      </c>
      <c r="T26">
        <v>0.86279424200006305</v>
      </c>
      <c r="U26">
        <v>44</v>
      </c>
      <c r="V26">
        <v>0</v>
      </c>
      <c r="W26">
        <v>0</v>
      </c>
      <c r="X26">
        <v>0</v>
      </c>
    </row>
    <row r="27" spans="1:24" x14ac:dyDescent="0.35">
      <c r="A27">
        <v>31</v>
      </c>
      <c r="E27">
        <v>636.51029920578003</v>
      </c>
      <c r="F27" t="s">
        <v>120</v>
      </c>
      <c r="G27">
        <v>71</v>
      </c>
      <c r="H27">
        <v>829.766471147537</v>
      </c>
      <c r="N27">
        <v>7.2510242462158203E-3</v>
      </c>
      <c r="O27" t="s">
        <v>120</v>
      </c>
      <c r="P27">
        <v>71</v>
      </c>
      <c r="Q27">
        <v>75</v>
      </c>
      <c r="R27" t="s">
        <v>121</v>
      </c>
      <c r="S27">
        <v>4</v>
      </c>
      <c r="T27">
        <v>4.7545490370000598</v>
      </c>
      <c r="U27">
        <v>71</v>
      </c>
      <c r="V27">
        <v>0</v>
      </c>
      <c r="X27">
        <v>0</v>
      </c>
    </row>
    <row r="28" spans="1:24" x14ac:dyDescent="0.35">
      <c r="A28">
        <v>32</v>
      </c>
      <c r="E28">
        <v>801.98344182968106</v>
      </c>
      <c r="F28" t="s">
        <v>122</v>
      </c>
      <c r="G28">
        <v>71</v>
      </c>
      <c r="H28">
        <v>990.50533342361405</v>
      </c>
      <c r="N28">
        <v>7.1249008178710903E-3</v>
      </c>
      <c r="O28" t="s">
        <v>122</v>
      </c>
      <c r="P28">
        <v>71</v>
      </c>
      <c r="Q28">
        <v>75</v>
      </c>
      <c r="R28" t="s">
        <v>123</v>
      </c>
      <c r="S28">
        <v>4</v>
      </c>
      <c r="T28">
        <v>2.7697425469998498</v>
      </c>
      <c r="U28">
        <v>71</v>
      </c>
      <c r="V28">
        <v>0</v>
      </c>
      <c r="X28">
        <v>0</v>
      </c>
    </row>
    <row r="29" spans="1:24" x14ac:dyDescent="0.35">
      <c r="A29">
        <v>33</v>
      </c>
      <c r="E29">
        <v>862.76423358917202</v>
      </c>
      <c r="F29" t="s">
        <v>124</v>
      </c>
      <c r="G29">
        <v>72</v>
      </c>
      <c r="H29">
        <v>1056.46148824691</v>
      </c>
      <c r="N29">
        <v>7.4980258941650304E-3</v>
      </c>
      <c r="O29" t="s">
        <v>125</v>
      </c>
      <c r="P29">
        <v>71</v>
      </c>
      <c r="Q29">
        <v>75</v>
      </c>
      <c r="R29" t="s">
        <v>126</v>
      </c>
      <c r="S29">
        <v>3</v>
      </c>
      <c r="T29">
        <v>4.4461507710000197</v>
      </c>
      <c r="U29">
        <v>72</v>
      </c>
      <c r="V29">
        <v>0</v>
      </c>
      <c r="X29">
        <v>1</v>
      </c>
    </row>
    <row r="30" spans="1:24" x14ac:dyDescent="0.35">
      <c r="A30">
        <v>34</v>
      </c>
      <c r="E30">
        <v>797.57793855667103</v>
      </c>
      <c r="F30" t="s">
        <v>127</v>
      </c>
      <c r="G30">
        <v>74</v>
      </c>
      <c r="H30">
        <v>997.39090871810902</v>
      </c>
      <c r="N30">
        <v>7.43985176086425E-3</v>
      </c>
      <c r="O30" t="s">
        <v>128</v>
      </c>
      <c r="P30">
        <v>74</v>
      </c>
      <c r="Q30">
        <v>75</v>
      </c>
      <c r="R30" t="s">
        <v>129</v>
      </c>
      <c r="S30">
        <v>1</v>
      </c>
      <c r="T30">
        <v>2.3383675780000801</v>
      </c>
      <c r="U30">
        <v>74</v>
      </c>
      <c r="V30">
        <v>0</v>
      </c>
      <c r="X30">
        <v>0</v>
      </c>
    </row>
    <row r="31" spans="1:24" x14ac:dyDescent="0.35">
      <c r="A31">
        <v>35</v>
      </c>
      <c r="E31">
        <v>737.52451467514004</v>
      </c>
      <c r="F31" t="s">
        <v>130</v>
      </c>
      <c r="G31">
        <v>71</v>
      </c>
      <c r="H31">
        <v>947.693143606185</v>
      </c>
      <c r="N31">
        <v>7.4191093444824201E-3</v>
      </c>
      <c r="O31" t="s">
        <v>130</v>
      </c>
      <c r="P31">
        <v>71</v>
      </c>
      <c r="Q31">
        <v>75</v>
      </c>
      <c r="R31" t="s">
        <v>131</v>
      </c>
      <c r="S31">
        <v>4</v>
      </c>
      <c r="T31">
        <v>3.9111922699999</v>
      </c>
      <c r="U31">
        <v>71</v>
      </c>
      <c r="V31">
        <v>0</v>
      </c>
      <c r="X31">
        <v>0</v>
      </c>
    </row>
    <row r="32" spans="1:24" x14ac:dyDescent="0.35">
      <c r="A32">
        <v>37</v>
      </c>
      <c r="E32">
        <v>859.79220128059296</v>
      </c>
      <c r="F32" t="s">
        <v>135</v>
      </c>
      <c r="G32">
        <v>69</v>
      </c>
      <c r="H32">
        <v>1054.3817796707101</v>
      </c>
      <c r="N32">
        <v>6.9537162780761701E-3</v>
      </c>
      <c r="O32" t="s">
        <v>136</v>
      </c>
      <c r="P32">
        <v>65</v>
      </c>
      <c r="Q32">
        <v>75</v>
      </c>
      <c r="R32" t="s">
        <v>137</v>
      </c>
      <c r="S32">
        <v>6</v>
      </c>
      <c r="T32">
        <v>10.3301430589999</v>
      </c>
      <c r="U32">
        <v>69</v>
      </c>
      <c r="V32">
        <v>0</v>
      </c>
      <c r="X32">
        <v>4</v>
      </c>
    </row>
    <row r="33" spans="1:24" x14ac:dyDescent="0.35">
      <c r="A33">
        <v>38</v>
      </c>
      <c r="E33">
        <v>966.47409462928704</v>
      </c>
      <c r="F33" t="s">
        <v>138</v>
      </c>
      <c r="G33">
        <v>73</v>
      </c>
      <c r="H33">
        <v>1181.8140380382499</v>
      </c>
      <c r="N33">
        <v>6.7458152770995998E-3</v>
      </c>
      <c r="O33" t="s">
        <v>139</v>
      </c>
      <c r="P33">
        <v>72</v>
      </c>
      <c r="Q33">
        <v>75</v>
      </c>
      <c r="R33" t="s">
        <v>140</v>
      </c>
      <c r="S33">
        <v>2</v>
      </c>
      <c r="T33">
        <v>13.409630242</v>
      </c>
      <c r="U33">
        <v>73</v>
      </c>
      <c r="V33">
        <v>0</v>
      </c>
      <c r="X33">
        <v>1</v>
      </c>
    </row>
    <row r="34" spans="1:24" x14ac:dyDescent="0.35">
      <c r="A34">
        <v>39</v>
      </c>
      <c r="E34">
        <v>499.41710233688298</v>
      </c>
      <c r="F34" t="s">
        <v>141</v>
      </c>
      <c r="G34">
        <v>69</v>
      </c>
      <c r="H34">
        <v>660.48236823081902</v>
      </c>
      <c r="N34">
        <v>7.1530342102050703E-3</v>
      </c>
      <c r="O34" t="s">
        <v>142</v>
      </c>
      <c r="P34">
        <v>68</v>
      </c>
      <c r="Q34">
        <v>75</v>
      </c>
      <c r="R34" t="s">
        <v>143</v>
      </c>
      <c r="S34">
        <v>6</v>
      </c>
      <c r="T34">
        <v>2.7420788290000901</v>
      </c>
      <c r="U34">
        <v>69</v>
      </c>
      <c r="V34">
        <v>0</v>
      </c>
      <c r="X34">
        <v>1</v>
      </c>
    </row>
    <row r="35" spans="1:24" x14ac:dyDescent="0.35">
      <c r="A35">
        <v>41</v>
      </c>
      <c r="E35">
        <v>3565.7875645160598</v>
      </c>
      <c r="F35" t="s">
        <v>147</v>
      </c>
      <c r="G35">
        <v>99</v>
      </c>
      <c r="H35">
        <v>4040.33326697349</v>
      </c>
      <c r="N35">
        <v>9.1185569763183594E-3</v>
      </c>
      <c r="O35" t="s">
        <v>148</v>
      </c>
      <c r="P35">
        <v>97</v>
      </c>
      <c r="Q35">
        <v>100</v>
      </c>
      <c r="R35" t="s">
        <v>149</v>
      </c>
      <c r="S35">
        <v>1</v>
      </c>
      <c r="T35">
        <v>25.9494041049999</v>
      </c>
      <c r="U35">
        <v>99</v>
      </c>
      <c r="V35">
        <v>0</v>
      </c>
      <c r="X35">
        <v>2</v>
      </c>
    </row>
    <row r="36" spans="1:24" x14ac:dyDescent="0.35">
      <c r="A36">
        <v>42</v>
      </c>
      <c r="E36">
        <v>2059.7729022502899</v>
      </c>
      <c r="F36" t="s">
        <v>150</v>
      </c>
      <c r="G36">
        <v>97</v>
      </c>
      <c r="H36">
        <v>3022.9244031906101</v>
      </c>
      <c r="N36">
        <v>8.72802734375E-3</v>
      </c>
      <c r="O36" t="s">
        <v>150</v>
      </c>
      <c r="P36">
        <v>97</v>
      </c>
      <c r="Q36">
        <v>100</v>
      </c>
      <c r="R36" t="s">
        <v>151</v>
      </c>
      <c r="S36">
        <v>3</v>
      </c>
      <c r="T36">
        <v>10.904785059999901</v>
      </c>
      <c r="U36">
        <v>97</v>
      </c>
      <c r="V36">
        <v>0</v>
      </c>
      <c r="X36">
        <v>0</v>
      </c>
    </row>
    <row r="37" spans="1:24" x14ac:dyDescent="0.35">
      <c r="A37">
        <v>43</v>
      </c>
      <c r="E37">
        <v>2591.8490533828699</v>
      </c>
      <c r="F37" t="s">
        <v>152</v>
      </c>
      <c r="G37">
        <v>96</v>
      </c>
      <c r="H37">
        <v>3170.6341514587398</v>
      </c>
      <c r="N37">
        <v>8.9905261993408203E-3</v>
      </c>
      <c r="O37" t="s">
        <v>153</v>
      </c>
      <c r="P37">
        <v>95</v>
      </c>
      <c r="Q37">
        <v>100</v>
      </c>
      <c r="R37" t="s">
        <v>154</v>
      </c>
      <c r="S37">
        <v>4</v>
      </c>
      <c r="T37">
        <v>13.080874477999901</v>
      </c>
      <c r="U37">
        <v>96</v>
      </c>
      <c r="V37">
        <v>0</v>
      </c>
      <c r="X37">
        <v>1</v>
      </c>
    </row>
    <row r="38" spans="1:24" x14ac:dyDescent="0.35">
      <c r="A38">
        <v>44</v>
      </c>
      <c r="E38">
        <v>3300.5156140327399</v>
      </c>
      <c r="F38" t="s">
        <v>155</v>
      </c>
      <c r="G38">
        <v>98</v>
      </c>
      <c r="H38">
        <v>3691.8290073871599</v>
      </c>
      <c r="N38">
        <v>8.6023807525634696E-3</v>
      </c>
      <c r="O38" t="s">
        <v>156</v>
      </c>
      <c r="P38">
        <v>97</v>
      </c>
      <c r="Q38">
        <v>100</v>
      </c>
      <c r="R38" t="s">
        <v>157</v>
      </c>
      <c r="S38">
        <v>2</v>
      </c>
      <c r="T38">
        <v>9.2506277180000307</v>
      </c>
      <c r="U38">
        <v>98</v>
      </c>
      <c r="V38">
        <v>0</v>
      </c>
      <c r="X38">
        <v>1</v>
      </c>
    </row>
    <row r="39" spans="1:24" x14ac:dyDescent="0.35">
      <c r="A39">
        <v>47</v>
      </c>
      <c r="E39">
        <v>2488.1506261825498</v>
      </c>
      <c r="F39" t="s">
        <v>164</v>
      </c>
      <c r="G39">
        <v>97</v>
      </c>
      <c r="H39">
        <v>3088.3284564018199</v>
      </c>
      <c r="N39">
        <v>9.4974040985107405E-3</v>
      </c>
      <c r="O39" t="s">
        <v>165</v>
      </c>
      <c r="P39">
        <v>95</v>
      </c>
      <c r="Q39">
        <v>100</v>
      </c>
      <c r="R39" t="s">
        <v>166</v>
      </c>
      <c r="S39">
        <v>3</v>
      </c>
      <c r="T39">
        <v>5.7266443180001199</v>
      </c>
      <c r="U39">
        <v>97</v>
      </c>
      <c r="V39">
        <v>0</v>
      </c>
      <c r="X39">
        <v>2</v>
      </c>
    </row>
    <row r="40" spans="1:24" x14ac:dyDescent="0.35">
      <c r="A40">
        <v>48</v>
      </c>
      <c r="E40">
        <v>6326.9702832698804</v>
      </c>
      <c r="F40" t="s">
        <v>167</v>
      </c>
      <c r="G40">
        <v>89</v>
      </c>
      <c r="H40">
        <v>3379.9579806327802</v>
      </c>
      <c r="N40">
        <v>9.0699195861816406E-3</v>
      </c>
      <c r="O40" t="s">
        <v>168</v>
      </c>
      <c r="P40">
        <v>86</v>
      </c>
      <c r="Q40">
        <v>100</v>
      </c>
      <c r="R40" t="s">
        <v>169</v>
      </c>
      <c r="S40">
        <v>11</v>
      </c>
      <c r="T40">
        <v>5.72274355700005</v>
      </c>
      <c r="U40">
        <v>89</v>
      </c>
      <c r="V40">
        <v>0</v>
      </c>
      <c r="X40">
        <v>3</v>
      </c>
    </row>
    <row r="41" spans="1:24" x14ac:dyDescent="0.35">
      <c r="A41">
        <v>49</v>
      </c>
      <c r="E41">
        <v>2521.6155614852901</v>
      </c>
      <c r="F41" t="s">
        <v>170</v>
      </c>
      <c r="G41">
        <v>98</v>
      </c>
      <c r="H41">
        <v>3149.4037983417502</v>
      </c>
      <c r="N41">
        <v>8.8615417480468698E-3</v>
      </c>
      <c r="O41" t="s">
        <v>171</v>
      </c>
      <c r="P41">
        <v>97</v>
      </c>
      <c r="Q41">
        <v>100</v>
      </c>
      <c r="R41" t="s">
        <v>172</v>
      </c>
      <c r="S41">
        <v>2</v>
      </c>
      <c r="T41">
        <v>15.453442161000099</v>
      </c>
      <c r="U41">
        <v>98</v>
      </c>
      <c r="V41">
        <v>0</v>
      </c>
      <c r="X41">
        <v>1</v>
      </c>
    </row>
    <row r="42" spans="1:24" x14ac:dyDescent="0.35">
      <c r="A42">
        <v>50</v>
      </c>
      <c r="E42">
        <v>2685.71052122116</v>
      </c>
      <c r="F42" t="s">
        <v>173</v>
      </c>
      <c r="G42">
        <v>96</v>
      </c>
      <c r="H42">
        <v>3183.6753487586898</v>
      </c>
      <c r="N42">
        <v>8.8996887207031198E-3</v>
      </c>
      <c r="O42" t="s">
        <v>173</v>
      </c>
      <c r="P42">
        <v>96</v>
      </c>
      <c r="Q42">
        <v>100</v>
      </c>
      <c r="R42" t="s">
        <v>174</v>
      </c>
      <c r="S42">
        <v>4</v>
      </c>
      <c r="T42">
        <v>5.9761223230000198</v>
      </c>
      <c r="U42">
        <v>96</v>
      </c>
      <c r="V42">
        <v>0</v>
      </c>
      <c r="X42">
        <v>0</v>
      </c>
    </row>
    <row r="43" spans="1:24" x14ac:dyDescent="0.35">
      <c r="A43">
        <v>51</v>
      </c>
      <c r="B43">
        <v>6.68661594390869E-2</v>
      </c>
      <c r="C43" t="s">
        <v>175</v>
      </c>
      <c r="D43">
        <v>11</v>
      </c>
      <c r="E43">
        <v>9.0063676834106392</v>
      </c>
      <c r="F43" t="s">
        <v>175</v>
      </c>
      <c r="G43">
        <v>11</v>
      </c>
      <c r="H43">
        <v>15.144894361495901</v>
      </c>
      <c r="I43" t="s">
        <v>176</v>
      </c>
      <c r="J43">
        <v>11</v>
      </c>
      <c r="K43">
        <v>26759.819811105699</v>
      </c>
      <c r="L43" t="s">
        <v>177</v>
      </c>
      <c r="M43">
        <v>11</v>
      </c>
      <c r="N43">
        <v>4.2831897735595703E-3</v>
      </c>
      <c r="O43" t="s">
        <v>178</v>
      </c>
      <c r="P43">
        <v>10</v>
      </c>
      <c r="Q43">
        <v>20</v>
      </c>
      <c r="R43" t="s">
        <v>179</v>
      </c>
      <c r="S43">
        <v>9</v>
      </c>
      <c r="T43">
        <v>3.5263192000002101E-2</v>
      </c>
      <c r="U43">
        <v>11</v>
      </c>
      <c r="V43">
        <v>0</v>
      </c>
      <c r="W43">
        <v>0</v>
      </c>
      <c r="X43">
        <v>1</v>
      </c>
    </row>
    <row r="44" spans="1:24" x14ac:dyDescent="0.35">
      <c r="A44">
        <v>52</v>
      </c>
      <c r="B44">
        <v>5.84690570831298E-2</v>
      </c>
      <c r="C44" t="s">
        <v>180</v>
      </c>
      <c r="D44">
        <v>15</v>
      </c>
      <c r="E44">
        <v>5.6918811798095703</v>
      </c>
      <c r="F44" t="s">
        <v>181</v>
      </c>
      <c r="G44">
        <v>15</v>
      </c>
      <c r="H44">
        <v>23.852615594863799</v>
      </c>
      <c r="I44" t="s">
        <v>182</v>
      </c>
      <c r="J44">
        <v>15</v>
      </c>
      <c r="K44">
        <v>86400.179282665194</v>
      </c>
      <c r="N44">
        <v>3.7240982055664002E-3</v>
      </c>
      <c r="O44" t="s">
        <v>183</v>
      </c>
      <c r="P44">
        <v>13</v>
      </c>
      <c r="Q44">
        <v>20</v>
      </c>
      <c r="R44" t="s">
        <v>184</v>
      </c>
      <c r="S44">
        <v>5</v>
      </c>
      <c r="T44">
        <v>5.0196411999877399E-2</v>
      </c>
      <c r="U44">
        <v>15</v>
      </c>
      <c r="V44">
        <v>0</v>
      </c>
      <c r="W44">
        <v>0</v>
      </c>
      <c r="X44">
        <v>2</v>
      </c>
    </row>
    <row r="45" spans="1:24" x14ac:dyDescent="0.35">
      <c r="A45">
        <v>53</v>
      </c>
      <c r="B45">
        <v>2.0714759826660101E-2</v>
      </c>
      <c r="C45" t="s">
        <v>185</v>
      </c>
      <c r="D45">
        <v>15</v>
      </c>
      <c r="E45">
        <v>3.1399140357971098</v>
      </c>
      <c r="F45" t="s">
        <v>185</v>
      </c>
      <c r="G45">
        <v>15</v>
      </c>
      <c r="H45">
        <v>7.6340012550354004</v>
      </c>
      <c r="I45" t="s">
        <v>185</v>
      </c>
      <c r="J45">
        <v>15</v>
      </c>
      <c r="K45">
        <v>94.903298854827796</v>
      </c>
      <c r="L45" t="s">
        <v>186</v>
      </c>
      <c r="M45">
        <v>15</v>
      </c>
      <c r="N45">
        <v>3.6454200744628902E-3</v>
      </c>
      <c r="O45" t="s">
        <v>187</v>
      </c>
      <c r="P45">
        <v>14</v>
      </c>
      <c r="Q45">
        <v>20</v>
      </c>
      <c r="R45" t="s">
        <v>188</v>
      </c>
      <c r="S45">
        <v>5</v>
      </c>
      <c r="T45">
        <v>3.6477944000125703E-2</v>
      </c>
      <c r="U45">
        <v>15</v>
      </c>
      <c r="V45">
        <v>0</v>
      </c>
      <c r="W45">
        <v>0</v>
      </c>
      <c r="X45">
        <v>1</v>
      </c>
    </row>
    <row r="46" spans="1:24" x14ac:dyDescent="0.35">
      <c r="A46">
        <v>54</v>
      </c>
      <c r="B46">
        <v>3.0108928680419901E-2</v>
      </c>
      <c r="C46" t="s">
        <v>189</v>
      </c>
      <c r="D46">
        <v>15</v>
      </c>
      <c r="E46">
        <v>3.1323459148406898</v>
      </c>
      <c r="F46" t="s">
        <v>189</v>
      </c>
      <c r="G46">
        <v>15</v>
      </c>
      <c r="H46">
        <v>6.0626444816589302</v>
      </c>
      <c r="I46" t="s">
        <v>189</v>
      </c>
      <c r="J46">
        <v>15</v>
      </c>
      <c r="K46">
        <v>456.62761378288201</v>
      </c>
      <c r="L46" t="s">
        <v>190</v>
      </c>
      <c r="M46">
        <v>15</v>
      </c>
      <c r="N46">
        <v>3.5321712493896402E-3</v>
      </c>
      <c r="O46" t="s">
        <v>189</v>
      </c>
      <c r="P46">
        <v>15</v>
      </c>
      <c r="Q46">
        <v>20</v>
      </c>
      <c r="R46" t="s">
        <v>191</v>
      </c>
      <c r="S46">
        <v>5</v>
      </c>
      <c r="T46">
        <v>4.1831303999970197E-2</v>
      </c>
      <c r="U46">
        <v>15</v>
      </c>
      <c r="V46">
        <v>0</v>
      </c>
      <c r="W46">
        <v>0</v>
      </c>
      <c r="X46">
        <v>0</v>
      </c>
    </row>
    <row r="47" spans="1:24" x14ac:dyDescent="0.35">
      <c r="A47">
        <v>55</v>
      </c>
      <c r="B47">
        <v>6.2480211257934501E-2</v>
      </c>
      <c r="C47" t="s">
        <v>192</v>
      </c>
      <c r="D47">
        <v>15</v>
      </c>
      <c r="E47">
        <v>2.9986371994018501</v>
      </c>
      <c r="F47" t="s">
        <v>192</v>
      </c>
      <c r="G47">
        <v>15</v>
      </c>
      <c r="H47">
        <v>6.3127932548522896</v>
      </c>
      <c r="I47" t="s">
        <v>192</v>
      </c>
      <c r="J47">
        <v>15</v>
      </c>
      <c r="K47">
        <v>1248.4967966079701</v>
      </c>
      <c r="L47" t="s">
        <v>193</v>
      </c>
      <c r="M47">
        <v>15</v>
      </c>
      <c r="N47">
        <v>3.5791397094726502E-3</v>
      </c>
      <c r="O47" t="s">
        <v>192</v>
      </c>
      <c r="P47">
        <v>15</v>
      </c>
      <c r="Q47">
        <v>20</v>
      </c>
      <c r="R47" t="s">
        <v>194</v>
      </c>
      <c r="S47">
        <v>5</v>
      </c>
      <c r="T47">
        <v>2.8706671000008999E-2</v>
      </c>
      <c r="U47">
        <v>15</v>
      </c>
      <c r="V47">
        <v>0</v>
      </c>
      <c r="W47">
        <v>0</v>
      </c>
      <c r="X47">
        <v>0</v>
      </c>
    </row>
    <row r="48" spans="1:24" x14ac:dyDescent="0.35">
      <c r="A48">
        <v>56</v>
      </c>
      <c r="B48">
        <v>2.21915245056152E-2</v>
      </c>
      <c r="C48" t="s">
        <v>195</v>
      </c>
      <c r="D48">
        <v>12</v>
      </c>
      <c r="E48">
        <v>5.0207715034484801</v>
      </c>
      <c r="F48" t="s">
        <v>195</v>
      </c>
      <c r="G48">
        <v>12</v>
      </c>
      <c r="H48">
        <v>9.9536929130554199</v>
      </c>
      <c r="I48" t="s">
        <v>195</v>
      </c>
      <c r="J48">
        <v>12</v>
      </c>
      <c r="K48">
        <v>1258.4213848114</v>
      </c>
      <c r="L48" t="s">
        <v>196</v>
      </c>
      <c r="M48">
        <v>12</v>
      </c>
      <c r="N48">
        <v>3.4809112548828099E-3</v>
      </c>
      <c r="O48" t="s">
        <v>197</v>
      </c>
      <c r="P48">
        <v>8</v>
      </c>
      <c r="Q48">
        <v>20</v>
      </c>
      <c r="R48" t="s">
        <v>198</v>
      </c>
      <c r="S48">
        <v>8</v>
      </c>
      <c r="T48">
        <v>3.9425131999905702E-2</v>
      </c>
      <c r="U48">
        <v>12</v>
      </c>
      <c r="V48">
        <v>0</v>
      </c>
      <c r="W48">
        <v>0</v>
      </c>
      <c r="X48">
        <v>4</v>
      </c>
    </row>
    <row r="49" spans="1:24" x14ac:dyDescent="0.35">
      <c r="A49">
        <v>57</v>
      </c>
      <c r="B49">
        <v>0.146340131759643</v>
      </c>
      <c r="C49" t="s">
        <v>199</v>
      </c>
      <c r="D49">
        <v>16</v>
      </c>
      <c r="E49">
        <v>6.3730485439300502</v>
      </c>
      <c r="F49" t="s">
        <v>200</v>
      </c>
      <c r="G49">
        <v>16</v>
      </c>
      <c r="H49">
        <v>13.852207660675001</v>
      </c>
      <c r="I49" t="s">
        <v>200</v>
      </c>
      <c r="J49">
        <v>16</v>
      </c>
      <c r="K49">
        <v>86400.153110742496</v>
      </c>
      <c r="N49">
        <v>3.5440921783447201E-3</v>
      </c>
      <c r="O49" t="s">
        <v>200</v>
      </c>
      <c r="P49">
        <v>16</v>
      </c>
      <c r="Q49">
        <v>20</v>
      </c>
      <c r="R49" t="s">
        <v>201</v>
      </c>
      <c r="S49">
        <v>4</v>
      </c>
      <c r="T49">
        <v>3.7094343000035203E-2</v>
      </c>
      <c r="U49">
        <v>16</v>
      </c>
      <c r="V49">
        <v>0</v>
      </c>
      <c r="W49">
        <v>0</v>
      </c>
      <c r="X49">
        <v>0</v>
      </c>
    </row>
    <row r="50" spans="1:24" x14ac:dyDescent="0.35">
      <c r="A50">
        <v>58</v>
      </c>
      <c r="B50">
        <v>3.1080007553100499E-2</v>
      </c>
      <c r="C50" t="s">
        <v>202</v>
      </c>
      <c r="D50">
        <v>14</v>
      </c>
      <c r="E50">
        <v>3.35055232048034</v>
      </c>
      <c r="F50" t="s">
        <v>203</v>
      </c>
      <c r="G50">
        <v>14</v>
      </c>
      <c r="H50">
        <v>9.3668909072875906</v>
      </c>
      <c r="I50" t="s">
        <v>203</v>
      </c>
      <c r="J50">
        <v>14</v>
      </c>
      <c r="K50">
        <v>86400.115000963197</v>
      </c>
      <c r="N50">
        <v>3.5631656646728498E-3</v>
      </c>
      <c r="O50" t="s">
        <v>203</v>
      </c>
      <c r="P50">
        <v>14</v>
      </c>
      <c r="Q50">
        <v>20</v>
      </c>
      <c r="R50" t="s">
        <v>204</v>
      </c>
      <c r="S50">
        <v>6</v>
      </c>
      <c r="T50">
        <v>4.39027760000954E-2</v>
      </c>
      <c r="U50">
        <v>14</v>
      </c>
      <c r="V50">
        <v>0</v>
      </c>
      <c r="W50">
        <v>0</v>
      </c>
      <c r="X50">
        <v>0</v>
      </c>
    </row>
    <row r="51" spans="1:24" x14ac:dyDescent="0.35">
      <c r="A51">
        <v>60</v>
      </c>
      <c r="B51">
        <v>4.34470176696777E-2</v>
      </c>
      <c r="C51" t="s">
        <v>209</v>
      </c>
      <c r="D51">
        <v>16</v>
      </c>
      <c r="E51">
        <v>4.0671200752258301</v>
      </c>
      <c r="F51" t="s">
        <v>209</v>
      </c>
      <c r="G51">
        <v>16</v>
      </c>
      <c r="H51">
        <v>12.3923120498657</v>
      </c>
      <c r="I51" t="s">
        <v>209</v>
      </c>
      <c r="J51">
        <v>16</v>
      </c>
      <c r="K51">
        <v>86400.285001039505</v>
      </c>
      <c r="N51">
        <v>3.8189888000488199E-3</v>
      </c>
      <c r="O51" t="s">
        <v>209</v>
      </c>
      <c r="P51">
        <v>16</v>
      </c>
      <c r="Q51">
        <v>20</v>
      </c>
      <c r="R51" t="s">
        <v>210</v>
      </c>
      <c r="S51">
        <v>4</v>
      </c>
      <c r="T51">
        <v>3.0591813999990301E-2</v>
      </c>
      <c r="U51">
        <v>16</v>
      </c>
      <c r="V51">
        <v>0</v>
      </c>
      <c r="W51">
        <v>0</v>
      </c>
      <c r="X51">
        <v>0</v>
      </c>
    </row>
    <row r="52" spans="1:24" x14ac:dyDescent="0.35">
      <c r="A52">
        <v>45</v>
      </c>
      <c r="E52">
        <v>2714.5142743587398</v>
      </c>
      <c r="F52" t="s">
        <v>158</v>
      </c>
      <c r="G52">
        <v>95</v>
      </c>
      <c r="H52">
        <v>3101.1883974075299</v>
      </c>
      <c r="N52">
        <v>8.9101791381835903E-3</v>
      </c>
      <c r="O52" t="s">
        <v>159</v>
      </c>
      <c r="P52">
        <v>94</v>
      </c>
      <c r="Q52">
        <v>100</v>
      </c>
      <c r="R52" t="s">
        <v>160</v>
      </c>
      <c r="S52">
        <v>5</v>
      </c>
      <c r="T52">
        <v>13.16428412</v>
      </c>
      <c r="U52">
        <v>95</v>
      </c>
      <c r="V52">
        <v>0</v>
      </c>
      <c r="X52">
        <v>1</v>
      </c>
    </row>
    <row r="53" spans="1:24" x14ac:dyDescent="0.35">
      <c r="A53">
        <v>4</v>
      </c>
      <c r="B53">
        <v>0.351595878601074</v>
      </c>
      <c r="C53" t="s">
        <v>34</v>
      </c>
      <c r="D53">
        <v>18</v>
      </c>
      <c r="E53">
        <v>8.5404961109161306</v>
      </c>
      <c r="F53" t="s">
        <v>34</v>
      </c>
      <c r="G53">
        <v>18</v>
      </c>
      <c r="H53">
        <v>27.0141856670379</v>
      </c>
      <c r="I53" t="s">
        <v>34</v>
      </c>
      <c r="J53">
        <v>18</v>
      </c>
      <c r="K53">
        <v>79622.901596307696</v>
      </c>
      <c r="L53" t="s">
        <v>35</v>
      </c>
      <c r="M53">
        <v>18</v>
      </c>
      <c r="N53">
        <v>4.1053295135498004E-3</v>
      </c>
      <c r="O53" t="s">
        <v>36</v>
      </c>
      <c r="P53">
        <v>17</v>
      </c>
      <c r="Q53">
        <v>25</v>
      </c>
      <c r="R53" t="s">
        <v>37</v>
      </c>
      <c r="S53">
        <v>8</v>
      </c>
      <c r="T53">
        <v>5.7115339000120002E-2</v>
      </c>
      <c r="U53">
        <v>17</v>
      </c>
      <c r="V53">
        <v>-1</v>
      </c>
      <c r="W53">
        <v>-1</v>
      </c>
      <c r="X53">
        <v>0</v>
      </c>
    </row>
    <row r="54" spans="1:24" x14ac:dyDescent="0.35">
      <c r="A54">
        <v>17</v>
      </c>
      <c r="B54">
        <v>3930.6082119941698</v>
      </c>
      <c r="C54" t="s">
        <v>78</v>
      </c>
      <c r="D54">
        <v>36</v>
      </c>
      <c r="E54">
        <v>58.510285615920999</v>
      </c>
      <c r="F54" t="s">
        <v>79</v>
      </c>
      <c r="G54">
        <v>36</v>
      </c>
      <c r="H54">
        <v>241.108869075775</v>
      </c>
      <c r="I54" t="s">
        <v>78</v>
      </c>
      <c r="J54">
        <v>36</v>
      </c>
      <c r="N54">
        <v>4.7316551208495998E-3</v>
      </c>
      <c r="O54" t="s">
        <v>80</v>
      </c>
      <c r="P54">
        <v>35</v>
      </c>
      <c r="Q54">
        <v>40</v>
      </c>
      <c r="R54" t="s">
        <v>81</v>
      </c>
      <c r="S54">
        <v>5</v>
      </c>
      <c r="T54">
        <v>0.467438242000071</v>
      </c>
      <c r="U54">
        <v>35</v>
      </c>
      <c r="V54">
        <v>-1</v>
      </c>
      <c r="W54">
        <v>-1</v>
      </c>
      <c r="X54">
        <v>0</v>
      </c>
    </row>
    <row r="55" spans="1:24" x14ac:dyDescent="0.35">
      <c r="A55">
        <v>23</v>
      </c>
      <c r="E55">
        <v>163.80628585815401</v>
      </c>
      <c r="F55" t="s">
        <v>95</v>
      </c>
      <c r="G55">
        <v>48</v>
      </c>
      <c r="H55">
        <v>625.075266361236</v>
      </c>
      <c r="I55" t="s">
        <v>96</v>
      </c>
      <c r="J55">
        <v>48</v>
      </c>
      <c r="N55">
        <v>5.6612491607665998E-3</v>
      </c>
      <c r="O55" t="s">
        <v>97</v>
      </c>
      <c r="P55">
        <v>47</v>
      </c>
      <c r="Q55">
        <v>50</v>
      </c>
      <c r="R55" t="s">
        <v>98</v>
      </c>
      <c r="S55">
        <v>3</v>
      </c>
      <c r="T55">
        <v>1.62990155800002</v>
      </c>
      <c r="U55">
        <v>47</v>
      </c>
      <c r="V55">
        <v>-1</v>
      </c>
      <c r="W55">
        <v>-1</v>
      </c>
      <c r="X55">
        <v>0</v>
      </c>
    </row>
    <row r="56" spans="1:24" x14ac:dyDescent="0.35">
      <c r="A56">
        <v>25</v>
      </c>
      <c r="E56">
        <v>671.99959683418194</v>
      </c>
      <c r="F56" t="s">
        <v>103</v>
      </c>
      <c r="G56">
        <v>44</v>
      </c>
      <c r="H56">
        <v>2373.39980578422</v>
      </c>
      <c r="I56" t="s">
        <v>104</v>
      </c>
      <c r="J56">
        <v>44</v>
      </c>
      <c r="N56">
        <v>5.7797431945800703E-3</v>
      </c>
      <c r="O56" t="s">
        <v>105</v>
      </c>
      <c r="P56">
        <v>42</v>
      </c>
      <c r="Q56">
        <v>50</v>
      </c>
      <c r="R56" t="s">
        <v>106</v>
      </c>
      <c r="S56">
        <v>7</v>
      </c>
      <c r="T56">
        <v>0.743245671000067</v>
      </c>
      <c r="U56">
        <v>43</v>
      </c>
      <c r="V56">
        <v>-1</v>
      </c>
      <c r="W56">
        <v>-1</v>
      </c>
      <c r="X56">
        <v>1</v>
      </c>
    </row>
    <row r="57" spans="1:24" x14ac:dyDescent="0.35">
      <c r="A57">
        <v>28</v>
      </c>
      <c r="E57">
        <v>133.62734746932901</v>
      </c>
      <c r="F57" t="s">
        <v>112</v>
      </c>
      <c r="G57">
        <v>47</v>
      </c>
      <c r="H57">
        <v>517.27748632430996</v>
      </c>
      <c r="I57" t="s">
        <v>112</v>
      </c>
      <c r="J57">
        <v>47</v>
      </c>
      <c r="N57">
        <v>5.7938098907470703E-3</v>
      </c>
      <c r="O57" t="s">
        <v>113</v>
      </c>
      <c r="P57">
        <v>46</v>
      </c>
      <c r="Q57">
        <v>50</v>
      </c>
      <c r="R57" t="s">
        <v>114</v>
      </c>
      <c r="S57">
        <v>4</v>
      </c>
      <c r="T57">
        <v>1.0895801690000999</v>
      </c>
      <c r="U57">
        <v>46</v>
      </c>
      <c r="V57">
        <v>-1</v>
      </c>
      <c r="W57">
        <v>-1</v>
      </c>
      <c r="X57">
        <v>0</v>
      </c>
    </row>
    <row r="58" spans="1:24" x14ac:dyDescent="0.35">
      <c r="A58">
        <v>36</v>
      </c>
      <c r="E58">
        <v>12748.104264736099</v>
      </c>
      <c r="F58" t="s">
        <v>132</v>
      </c>
      <c r="G58">
        <v>65</v>
      </c>
      <c r="H58">
        <v>1018.60106301307</v>
      </c>
      <c r="N58">
        <v>7.6315402984619097E-3</v>
      </c>
      <c r="O58" t="s">
        <v>133</v>
      </c>
      <c r="P58">
        <v>59</v>
      </c>
      <c r="Q58">
        <v>75</v>
      </c>
      <c r="R58" t="s">
        <v>134</v>
      </c>
      <c r="S58">
        <v>11</v>
      </c>
      <c r="T58">
        <v>1.74447362800015</v>
      </c>
      <c r="U58">
        <v>64</v>
      </c>
      <c r="V58">
        <v>-1</v>
      </c>
      <c r="X58">
        <v>5</v>
      </c>
    </row>
    <row r="59" spans="1:24" x14ac:dyDescent="0.35">
      <c r="A59">
        <v>40</v>
      </c>
      <c r="E59">
        <v>1306.3808846473601</v>
      </c>
      <c r="F59" t="s">
        <v>144</v>
      </c>
      <c r="G59">
        <v>69</v>
      </c>
      <c r="H59">
        <v>895.20780110359101</v>
      </c>
      <c r="N59">
        <v>7.6365470886230399E-3</v>
      </c>
      <c r="O59" t="s">
        <v>145</v>
      </c>
      <c r="P59">
        <v>62</v>
      </c>
      <c r="Q59">
        <v>75</v>
      </c>
      <c r="R59" t="s">
        <v>146</v>
      </c>
      <c r="S59">
        <v>7</v>
      </c>
      <c r="T59">
        <v>3.58365346499999</v>
      </c>
      <c r="U59">
        <v>68</v>
      </c>
      <c r="V59">
        <v>-1</v>
      </c>
      <c r="X59">
        <v>6</v>
      </c>
    </row>
    <row r="60" spans="1:24" x14ac:dyDescent="0.35">
      <c r="A60">
        <v>46</v>
      </c>
      <c r="E60">
        <v>3459.2452313899898</v>
      </c>
      <c r="F60" t="s">
        <v>161</v>
      </c>
      <c r="G60">
        <v>94</v>
      </c>
      <c r="H60">
        <v>3352.1920790672302</v>
      </c>
      <c r="N60">
        <v>8.9771747589111293E-3</v>
      </c>
      <c r="O60" t="s">
        <v>162</v>
      </c>
      <c r="P60">
        <v>92</v>
      </c>
      <c r="Q60">
        <v>100</v>
      </c>
      <c r="R60" t="s">
        <v>163</v>
      </c>
      <c r="S60">
        <v>7</v>
      </c>
      <c r="T60">
        <v>8.5667061740000392</v>
      </c>
      <c r="U60">
        <v>93</v>
      </c>
      <c r="V60">
        <v>-1</v>
      </c>
      <c r="X60">
        <v>1</v>
      </c>
    </row>
    <row r="61" spans="1:24" s="3" customFormat="1" x14ac:dyDescent="0.35">
      <c r="A61" s="3">
        <v>59</v>
      </c>
      <c r="B61" s="3">
        <v>0.38172149658203097</v>
      </c>
      <c r="C61" s="3" t="s">
        <v>205</v>
      </c>
      <c r="D61" s="3">
        <v>18</v>
      </c>
      <c r="E61" s="3">
        <v>5.1801760196685702</v>
      </c>
      <c r="F61" s="3" t="s">
        <v>205</v>
      </c>
      <c r="G61" s="3">
        <v>18</v>
      </c>
      <c r="H61" s="3">
        <v>9.8184607028961093</v>
      </c>
      <c r="I61" s="3" t="s">
        <v>205</v>
      </c>
      <c r="J61" s="3">
        <v>18</v>
      </c>
      <c r="K61" s="3">
        <v>2838.11518716812</v>
      </c>
      <c r="L61" s="3" t="s">
        <v>206</v>
      </c>
      <c r="M61" s="3">
        <v>18</v>
      </c>
      <c r="N61" s="3">
        <v>3.4942626953125E-3</v>
      </c>
      <c r="O61" s="3" t="s">
        <v>207</v>
      </c>
      <c r="P61" s="3">
        <v>17</v>
      </c>
      <c r="Q61" s="3">
        <v>20</v>
      </c>
      <c r="R61" s="3" t="s">
        <v>208</v>
      </c>
      <c r="S61" s="3">
        <v>3</v>
      </c>
      <c r="T61" s="3">
        <v>4.0222470999879002E-2</v>
      </c>
      <c r="U61" s="3">
        <v>17</v>
      </c>
      <c r="V61" s="3">
        <v>-1</v>
      </c>
      <c r="W61" s="3">
        <v>-1</v>
      </c>
      <c r="X61" s="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B5CC3-3535-40C3-B423-D028CA24C449}">
  <dimension ref="A1:E61"/>
  <sheetViews>
    <sheetView workbookViewId="0">
      <selection activeCell="A2" sqref="A2:E61"/>
    </sheetView>
  </sheetViews>
  <sheetFormatPr defaultRowHeight="14.5" x14ac:dyDescent="0.35"/>
  <cols>
    <col min="2" max="2" width="25.26953125" bestFit="1" customWidth="1"/>
    <col min="3" max="5" width="26.7265625" bestFit="1" customWidth="1"/>
  </cols>
  <sheetData>
    <row r="1" spans="1:5" x14ac:dyDescent="0.35">
      <c r="A1" t="s">
        <v>0</v>
      </c>
      <c r="B1" t="s">
        <v>5</v>
      </c>
      <c r="C1" t="s">
        <v>211</v>
      </c>
      <c r="D1" t="s">
        <v>218</v>
      </c>
      <c r="E1" t="s">
        <v>225</v>
      </c>
    </row>
    <row r="2" spans="1:5" x14ac:dyDescent="0.35">
      <c r="A2">
        <v>1</v>
      </c>
      <c r="B2" t="s">
        <v>24</v>
      </c>
      <c r="C2" t="s">
        <v>27</v>
      </c>
      <c r="D2" t="s">
        <v>27</v>
      </c>
      <c r="E2" t="s">
        <v>27</v>
      </c>
    </row>
    <row r="3" spans="1:5" x14ac:dyDescent="0.35">
      <c r="A3">
        <v>2</v>
      </c>
      <c r="B3" t="s">
        <v>29</v>
      </c>
      <c r="C3" t="s">
        <v>31</v>
      </c>
      <c r="D3" t="s">
        <v>31</v>
      </c>
      <c r="E3" t="s">
        <v>31</v>
      </c>
    </row>
    <row r="4" spans="1:5" x14ac:dyDescent="0.35">
      <c r="A4">
        <v>3</v>
      </c>
      <c r="B4" t="s">
        <v>32</v>
      </c>
      <c r="C4" t="s">
        <v>33</v>
      </c>
      <c r="D4" t="s">
        <v>33</v>
      </c>
      <c r="E4" t="s">
        <v>33</v>
      </c>
    </row>
    <row r="5" spans="1:5" x14ac:dyDescent="0.35">
      <c r="A5">
        <v>4</v>
      </c>
      <c r="B5" t="s">
        <v>34</v>
      </c>
      <c r="C5" t="s">
        <v>37</v>
      </c>
      <c r="D5" t="s">
        <v>37</v>
      </c>
      <c r="E5" t="s">
        <v>37</v>
      </c>
    </row>
    <row r="6" spans="1:5" x14ac:dyDescent="0.35">
      <c r="A6">
        <v>5</v>
      </c>
      <c r="B6" t="s">
        <v>38</v>
      </c>
      <c r="C6" t="s">
        <v>40</v>
      </c>
      <c r="D6" t="s">
        <v>40</v>
      </c>
      <c r="E6" t="s">
        <v>40</v>
      </c>
    </row>
    <row r="7" spans="1:5" x14ac:dyDescent="0.35">
      <c r="A7">
        <v>6</v>
      </c>
      <c r="B7" t="s">
        <v>41</v>
      </c>
      <c r="C7" t="s">
        <v>42</v>
      </c>
      <c r="D7" t="s">
        <v>42</v>
      </c>
      <c r="E7" t="s">
        <v>42</v>
      </c>
    </row>
    <row r="8" spans="1:5" x14ac:dyDescent="0.35">
      <c r="A8">
        <v>7</v>
      </c>
      <c r="B8" t="s">
        <v>44</v>
      </c>
      <c r="C8" t="s">
        <v>47</v>
      </c>
      <c r="D8" t="s">
        <v>47</v>
      </c>
      <c r="E8" t="s">
        <v>47</v>
      </c>
    </row>
    <row r="9" spans="1:5" x14ac:dyDescent="0.35">
      <c r="A9">
        <v>8</v>
      </c>
      <c r="B9" t="s">
        <v>49</v>
      </c>
      <c r="C9" t="s">
        <v>50</v>
      </c>
      <c r="D9" t="s">
        <v>50</v>
      </c>
      <c r="E9" t="s">
        <v>50</v>
      </c>
    </row>
    <row r="10" spans="1:5" x14ac:dyDescent="0.35">
      <c r="A10">
        <v>9</v>
      </c>
      <c r="B10" t="s">
        <v>52</v>
      </c>
      <c r="C10" t="s">
        <v>54</v>
      </c>
      <c r="D10" t="s">
        <v>54</v>
      </c>
      <c r="E10" t="s">
        <v>54</v>
      </c>
    </row>
    <row r="11" spans="1:5" x14ac:dyDescent="0.35">
      <c r="A11">
        <v>10</v>
      </c>
      <c r="B11" t="s">
        <v>56</v>
      </c>
      <c r="C11" t="s">
        <v>58</v>
      </c>
      <c r="D11" t="s">
        <v>58</v>
      </c>
      <c r="E11" t="s">
        <v>58</v>
      </c>
    </row>
    <row r="12" spans="1:5" x14ac:dyDescent="0.35">
      <c r="A12">
        <v>11</v>
      </c>
      <c r="B12" t="s">
        <v>60</v>
      </c>
      <c r="C12" t="s">
        <v>63</v>
      </c>
      <c r="D12" t="s">
        <v>63</v>
      </c>
      <c r="E12" t="s">
        <v>63</v>
      </c>
    </row>
    <row r="13" spans="1:5" x14ac:dyDescent="0.35">
      <c r="A13">
        <v>12</v>
      </c>
      <c r="B13" t="s">
        <v>64</v>
      </c>
      <c r="C13" t="s">
        <v>65</v>
      </c>
      <c r="D13" t="s">
        <v>65</v>
      </c>
      <c r="E13" t="s">
        <v>65</v>
      </c>
    </row>
    <row r="14" spans="1:5" x14ac:dyDescent="0.35">
      <c r="A14">
        <v>13</v>
      </c>
      <c r="B14" t="s">
        <v>46</v>
      </c>
      <c r="C14" t="s">
        <v>67</v>
      </c>
      <c r="D14" t="s">
        <v>67</v>
      </c>
      <c r="E14" t="s">
        <v>221</v>
      </c>
    </row>
    <row r="15" spans="1:5" x14ac:dyDescent="0.35">
      <c r="A15">
        <v>14</v>
      </c>
      <c r="B15" t="s">
        <v>68</v>
      </c>
      <c r="C15" t="s">
        <v>70</v>
      </c>
      <c r="D15" t="s">
        <v>70</v>
      </c>
      <c r="E15" t="s">
        <v>70</v>
      </c>
    </row>
    <row r="16" spans="1:5" x14ac:dyDescent="0.35">
      <c r="A16">
        <v>15</v>
      </c>
      <c r="B16" t="s">
        <v>71</v>
      </c>
      <c r="C16" t="s">
        <v>72</v>
      </c>
      <c r="D16" t="s">
        <v>72</v>
      </c>
      <c r="E16" t="s">
        <v>72</v>
      </c>
    </row>
    <row r="17" spans="1:5" x14ac:dyDescent="0.35">
      <c r="A17">
        <v>16</v>
      </c>
      <c r="B17" t="s">
        <v>74</v>
      </c>
      <c r="C17" t="s">
        <v>77</v>
      </c>
      <c r="D17" t="s">
        <v>77</v>
      </c>
      <c r="E17" t="s">
        <v>77</v>
      </c>
    </row>
    <row r="18" spans="1:5" x14ac:dyDescent="0.35">
      <c r="A18">
        <v>17</v>
      </c>
      <c r="B18" t="s">
        <v>79</v>
      </c>
      <c r="C18" t="s">
        <v>81</v>
      </c>
      <c r="D18" t="s">
        <v>214</v>
      </c>
      <c r="E18" t="s">
        <v>214</v>
      </c>
    </row>
    <row r="19" spans="1:5" x14ac:dyDescent="0.35">
      <c r="A19">
        <v>18</v>
      </c>
      <c r="B19" t="s">
        <v>83</v>
      </c>
      <c r="C19" t="s">
        <v>84</v>
      </c>
      <c r="D19" t="s">
        <v>84</v>
      </c>
      <c r="E19" t="s">
        <v>84</v>
      </c>
    </row>
    <row r="20" spans="1:5" x14ac:dyDescent="0.35">
      <c r="A20">
        <v>19</v>
      </c>
      <c r="B20" t="s">
        <v>86</v>
      </c>
      <c r="C20" t="s">
        <v>87</v>
      </c>
      <c r="D20" t="s">
        <v>87</v>
      </c>
      <c r="E20" t="s">
        <v>87</v>
      </c>
    </row>
    <row r="21" spans="1:5" x14ac:dyDescent="0.35">
      <c r="A21">
        <v>20</v>
      </c>
      <c r="B21" t="s">
        <v>88</v>
      </c>
      <c r="C21" t="s">
        <v>89</v>
      </c>
      <c r="D21" t="s">
        <v>89</v>
      </c>
      <c r="E21" t="s">
        <v>89</v>
      </c>
    </row>
    <row r="22" spans="1:5" x14ac:dyDescent="0.35">
      <c r="A22">
        <v>21</v>
      </c>
      <c r="B22" t="s">
        <v>90</v>
      </c>
      <c r="C22" t="s">
        <v>91</v>
      </c>
      <c r="D22" t="s">
        <v>91</v>
      </c>
      <c r="E22" t="s">
        <v>91</v>
      </c>
    </row>
    <row r="23" spans="1:5" x14ac:dyDescent="0.35">
      <c r="A23">
        <v>22</v>
      </c>
      <c r="B23" t="s">
        <v>92</v>
      </c>
      <c r="C23" t="s">
        <v>94</v>
      </c>
      <c r="D23" t="s">
        <v>94</v>
      </c>
      <c r="E23" t="s">
        <v>94</v>
      </c>
    </row>
    <row r="24" spans="1:5" x14ac:dyDescent="0.35">
      <c r="A24">
        <v>23</v>
      </c>
      <c r="B24" t="s">
        <v>95</v>
      </c>
      <c r="C24" t="s">
        <v>98</v>
      </c>
      <c r="D24" t="s">
        <v>215</v>
      </c>
      <c r="E24" t="s">
        <v>222</v>
      </c>
    </row>
    <row r="25" spans="1:5" x14ac:dyDescent="0.35">
      <c r="A25">
        <v>24</v>
      </c>
      <c r="B25" t="s">
        <v>99</v>
      </c>
      <c r="C25" t="s">
        <v>102</v>
      </c>
      <c r="D25" t="s">
        <v>216</v>
      </c>
      <c r="E25" t="s">
        <v>223</v>
      </c>
    </row>
    <row r="26" spans="1:5" x14ac:dyDescent="0.35">
      <c r="A26">
        <v>25</v>
      </c>
      <c r="B26" t="s">
        <v>103</v>
      </c>
      <c r="C26" t="s">
        <v>106</v>
      </c>
      <c r="D26" t="s">
        <v>217</v>
      </c>
      <c r="E26" t="s">
        <v>217</v>
      </c>
    </row>
    <row r="27" spans="1:5" x14ac:dyDescent="0.35">
      <c r="A27">
        <v>26</v>
      </c>
      <c r="B27" t="s">
        <v>107</v>
      </c>
      <c r="C27" t="s">
        <v>109</v>
      </c>
      <c r="D27" t="s">
        <v>109</v>
      </c>
      <c r="E27" t="s">
        <v>109</v>
      </c>
    </row>
    <row r="28" spans="1:5" x14ac:dyDescent="0.35">
      <c r="A28">
        <v>27</v>
      </c>
      <c r="B28" t="s">
        <v>110</v>
      </c>
      <c r="C28" t="s">
        <v>111</v>
      </c>
      <c r="D28" t="s">
        <v>111</v>
      </c>
      <c r="E28" t="s">
        <v>111</v>
      </c>
    </row>
    <row r="29" spans="1:5" x14ac:dyDescent="0.35">
      <c r="A29">
        <v>28</v>
      </c>
      <c r="B29" t="s">
        <v>112</v>
      </c>
      <c r="C29" t="s">
        <v>114</v>
      </c>
      <c r="D29" t="s">
        <v>114</v>
      </c>
      <c r="E29" t="s">
        <v>114</v>
      </c>
    </row>
    <row r="30" spans="1:5" x14ac:dyDescent="0.35">
      <c r="A30">
        <v>29</v>
      </c>
      <c r="B30" t="s">
        <v>115</v>
      </c>
      <c r="C30" t="s">
        <v>117</v>
      </c>
      <c r="D30" t="s">
        <v>117</v>
      </c>
      <c r="E30" t="s">
        <v>117</v>
      </c>
    </row>
    <row r="31" spans="1:5" x14ac:dyDescent="0.35">
      <c r="A31">
        <v>30</v>
      </c>
      <c r="B31" t="s">
        <v>118</v>
      </c>
      <c r="C31" t="s">
        <v>119</v>
      </c>
      <c r="D31" t="s">
        <v>119</v>
      </c>
      <c r="E31" t="s">
        <v>119</v>
      </c>
    </row>
    <row r="32" spans="1:5" x14ac:dyDescent="0.35">
      <c r="A32">
        <v>31</v>
      </c>
      <c r="B32" t="s">
        <v>120</v>
      </c>
      <c r="C32" t="s">
        <v>121</v>
      </c>
      <c r="D32" t="s">
        <v>121</v>
      </c>
      <c r="E32" t="s">
        <v>121</v>
      </c>
    </row>
    <row r="33" spans="1:5" x14ac:dyDescent="0.35">
      <c r="A33">
        <v>32</v>
      </c>
      <c r="B33" t="s">
        <v>122</v>
      </c>
      <c r="C33" t="s">
        <v>123</v>
      </c>
      <c r="D33" t="s">
        <v>123</v>
      </c>
      <c r="E33" t="s">
        <v>123</v>
      </c>
    </row>
    <row r="34" spans="1:5" x14ac:dyDescent="0.35">
      <c r="A34">
        <v>33</v>
      </c>
      <c r="B34" t="s">
        <v>124</v>
      </c>
      <c r="C34" t="s">
        <v>126</v>
      </c>
      <c r="D34" t="s">
        <v>126</v>
      </c>
      <c r="E34" t="s">
        <v>126</v>
      </c>
    </row>
    <row r="35" spans="1:5" x14ac:dyDescent="0.35">
      <c r="A35">
        <v>34</v>
      </c>
      <c r="B35" t="s">
        <v>127</v>
      </c>
      <c r="C35" t="s">
        <v>129</v>
      </c>
      <c r="D35" t="s">
        <v>129</v>
      </c>
      <c r="E35" t="s">
        <v>129</v>
      </c>
    </row>
    <row r="36" spans="1:5" x14ac:dyDescent="0.35">
      <c r="A36">
        <v>35</v>
      </c>
      <c r="B36" t="s">
        <v>130</v>
      </c>
      <c r="C36" t="s">
        <v>131</v>
      </c>
      <c r="D36" t="s">
        <v>131</v>
      </c>
      <c r="E36" t="s">
        <v>131</v>
      </c>
    </row>
    <row r="37" spans="1:5" x14ac:dyDescent="0.35">
      <c r="A37">
        <v>36</v>
      </c>
      <c r="B37" t="s">
        <v>132</v>
      </c>
      <c r="C37" t="s">
        <v>134</v>
      </c>
      <c r="D37" t="s">
        <v>134</v>
      </c>
      <c r="E37" t="s">
        <v>224</v>
      </c>
    </row>
    <row r="38" spans="1:5" x14ac:dyDescent="0.35">
      <c r="A38">
        <v>37</v>
      </c>
      <c r="B38" t="s">
        <v>135</v>
      </c>
      <c r="C38" t="s">
        <v>137</v>
      </c>
      <c r="D38" t="s">
        <v>137</v>
      </c>
      <c r="E38" t="s">
        <v>137</v>
      </c>
    </row>
    <row r="39" spans="1:5" x14ac:dyDescent="0.35">
      <c r="A39">
        <v>38</v>
      </c>
      <c r="B39" t="s">
        <v>138</v>
      </c>
      <c r="C39" t="s">
        <v>140</v>
      </c>
      <c r="D39" t="s">
        <v>140</v>
      </c>
      <c r="E39" t="s">
        <v>140</v>
      </c>
    </row>
    <row r="40" spans="1:5" x14ac:dyDescent="0.35">
      <c r="A40">
        <v>39</v>
      </c>
      <c r="B40" t="s">
        <v>141</v>
      </c>
      <c r="C40" t="s">
        <v>143</v>
      </c>
      <c r="D40" t="s">
        <v>143</v>
      </c>
      <c r="E40" t="s">
        <v>143</v>
      </c>
    </row>
    <row r="41" spans="1:5" x14ac:dyDescent="0.35">
      <c r="A41">
        <v>40</v>
      </c>
      <c r="B41" t="s">
        <v>144</v>
      </c>
      <c r="C41" t="s">
        <v>146</v>
      </c>
      <c r="D41" t="s">
        <v>146</v>
      </c>
      <c r="E41" t="s">
        <v>146</v>
      </c>
    </row>
    <row r="42" spans="1:5" x14ac:dyDescent="0.35">
      <c r="A42">
        <v>41</v>
      </c>
      <c r="B42" t="s">
        <v>147</v>
      </c>
      <c r="C42" t="s">
        <v>149</v>
      </c>
      <c r="D42" t="s">
        <v>149</v>
      </c>
      <c r="E42" t="s">
        <v>149</v>
      </c>
    </row>
    <row r="43" spans="1:5" x14ac:dyDescent="0.35">
      <c r="A43">
        <v>42</v>
      </c>
      <c r="B43" t="s">
        <v>150</v>
      </c>
      <c r="C43" t="s">
        <v>151</v>
      </c>
      <c r="D43" t="s">
        <v>151</v>
      </c>
      <c r="E43" t="s">
        <v>151</v>
      </c>
    </row>
    <row r="44" spans="1:5" x14ac:dyDescent="0.35">
      <c r="A44">
        <v>43</v>
      </c>
      <c r="B44" t="s">
        <v>152</v>
      </c>
      <c r="C44" t="s">
        <v>154</v>
      </c>
      <c r="D44" t="s">
        <v>154</v>
      </c>
      <c r="E44" t="s">
        <v>154</v>
      </c>
    </row>
    <row r="45" spans="1:5" x14ac:dyDescent="0.35">
      <c r="A45">
        <v>44</v>
      </c>
      <c r="B45" t="s">
        <v>155</v>
      </c>
      <c r="C45" t="s">
        <v>157</v>
      </c>
      <c r="D45" t="s">
        <v>157</v>
      </c>
      <c r="E45" t="s">
        <v>157</v>
      </c>
    </row>
    <row r="46" spans="1:5" x14ac:dyDescent="0.35">
      <c r="A46">
        <v>45</v>
      </c>
      <c r="B46" t="s">
        <v>158</v>
      </c>
      <c r="C46" t="s">
        <v>160</v>
      </c>
      <c r="D46" t="s">
        <v>160</v>
      </c>
      <c r="E46" t="s">
        <v>160</v>
      </c>
    </row>
    <row r="47" spans="1:5" x14ac:dyDescent="0.35">
      <c r="A47">
        <v>46</v>
      </c>
      <c r="B47" t="s">
        <v>161</v>
      </c>
      <c r="C47" t="s">
        <v>163</v>
      </c>
      <c r="D47" t="s">
        <v>163</v>
      </c>
      <c r="E47" t="s">
        <v>163</v>
      </c>
    </row>
    <row r="48" spans="1:5" x14ac:dyDescent="0.35">
      <c r="A48">
        <v>47</v>
      </c>
      <c r="B48" t="s">
        <v>164</v>
      </c>
      <c r="C48" t="s">
        <v>166</v>
      </c>
      <c r="D48" t="s">
        <v>166</v>
      </c>
      <c r="E48" t="s">
        <v>166</v>
      </c>
    </row>
    <row r="49" spans="1:5" x14ac:dyDescent="0.35">
      <c r="A49">
        <v>48</v>
      </c>
      <c r="B49" t="s">
        <v>167</v>
      </c>
      <c r="C49" t="s">
        <v>169</v>
      </c>
      <c r="D49" t="s">
        <v>169</v>
      </c>
      <c r="E49" t="s">
        <v>169</v>
      </c>
    </row>
    <row r="50" spans="1:5" x14ac:dyDescent="0.35">
      <c r="A50">
        <v>49</v>
      </c>
      <c r="B50" t="s">
        <v>170</v>
      </c>
      <c r="C50" t="s">
        <v>172</v>
      </c>
      <c r="D50" t="s">
        <v>172</v>
      </c>
      <c r="E50" t="s">
        <v>172</v>
      </c>
    </row>
    <row r="51" spans="1:5" x14ac:dyDescent="0.35">
      <c r="A51">
        <v>50</v>
      </c>
      <c r="B51" t="s">
        <v>173</v>
      </c>
      <c r="C51" t="s">
        <v>174</v>
      </c>
      <c r="D51" t="s">
        <v>174</v>
      </c>
      <c r="E51" t="s">
        <v>174</v>
      </c>
    </row>
    <row r="52" spans="1:5" x14ac:dyDescent="0.35">
      <c r="A52">
        <v>51</v>
      </c>
      <c r="B52" t="s">
        <v>175</v>
      </c>
      <c r="C52" t="s">
        <v>179</v>
      </c>
      <c r="D52" t="s">
        <v>179</v>
      </c>
      <c r="E52" t="s">
        <v>179</v>
      </c>
    </row>
    <row r="53" spans="1:5" x14ac:dyDescent="0.35">
      <c r="A53">
        <v>52</v>
      </c>
      <c r="B53" t="s">
        <v>181</v>
      </c>
      <c r="C53" t="s">
        <v>184</v>
      </c>
      <c r="D53" t="s">
        <v>184</v>
      </c>
      <c r="E53" t="s">
        <v>184</v>
      </c>
    </row>
    <row r="54" spans="1:5" x14ac:dyDescent="0.35">
      <c r="A54">
        <v>53</v>
      </c>
      <c r="B54" t="s">
        <v>185</v>
      </c>
      <c r="C54" t="s">
        <v>188</v>
      </c>
      <c r="D54" t="s">
        <v>188</v>
      </c>
      <c r="E54" t="s">
        <v>188</v>
      </c>
    </row>
    <row r="55" spans="1:5" x14ac:dyDescent="0.35">
      <c r="A55">
        <v>54</v>
      </c>
      <c r="B55" t="s">
        <v>189</v>
      </c>
      <c r="C55" t="s">
        <v>191</v>
      </c>
      <c r="D55" t="s">
        <v>191</v>
      </c>
      <c r="E55" t="s">
        <v>191</v>
      </c>
    </row>
    <row r="56" spans="1:5" x14ac:dyDescent="0.35">
      <c r="A56">
        <v>55</v>
      </c>
      <c r="B56" t="s">
        <v>192</v>
      </c>
      <c r="C56" t="s">
        <v>194</v>
      </c>
      <c r="D56" t="s">
        <v>194</v>
      </c>
      <c r="E56" t="s">
        <v>194</v>
      </c>
    </row>
    <row r="57" spans="1:5" x14ac:dyDescent="0.35">
      <c r="A57">
        <v>56</v>
      </c>
      <c r="B57" t="s">
        <v>195</v>
      </c>
      <c r="C57" t="s">
        <v>198</v>
      </c>
      <c r="D57" t="s">
        <v>198</v>
      </c>
      <c r="E57" t="s">
        <v>198</v>
      </c>
    </row>
    <row r="58" spans="1:5" x14ac:dyDescent="0.35">
      <c r="A58">
        <v>57</v>
      </c>
      <c r="B58" t="s">
        <v>200</v>
      </c>
      <c r="C58" t="s">
        <v>201</v>
      </c>
      <c r="D58" t="s">
        <v>201</v>
      </c>
      <c r="E58" t="s">
        <v>201</v>
      </c>
    </row>
    <row r="59" spans="1:5" x14ac:dyDescent="0.35">
      <c r="A59">
        <v>58</v>
      </c>
      <c r="B59" t="s">
        <v>203</v>
      </c>
      <c r="C59" t="s">
        <v>204</v>
      </c>
      <c r="D59" t="s">
        <v>204</v>
      </c>
      <c r="E59" t="s">
        <v>204</v>
      </c>
    </row>
    <row r="60" spans="1:5" x14ac:dyDescent="0.35">
      <c r="A60">
        <v>59</v>
      </c>
      <c r="B60" t="s">
        <v>205</v>
      </c>
      <c r="C60" t="s">
        <v>208</v>
      </c>
      <c r="D60" t="s">
        <v>208</v>
      </c>
      <c r="E60" t="s">
        <v>208</v>
      </c>
    </row>
    <row r="61" spans="1:5" x14ac:dyDescent="0.35">
      <c r="A61">
        <v>60</v>
      </c>
      <c r="B61" t="s">
        <v>209</v>
      </c>
      <c r="C61" t="s">
        <v>210</v>
      </c>
      <c r="D61" t="s">
        <v>210</v>
      </c>
      <c r="E61" t="s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70DC-247C-49A0-8309-2E578C877930}">
  <dimension ref="A1:J61"/>
  <sheetViews>
    <sheetView topLeftCell="C1" workbookViewId="0">
      <selection activeCell="H60" sqref="H60"/>
    </sheetView>
  </sheetViews>
  <sheetFormatPr defaultRowHeight="14.5" x14ac:dyDescent="0.35"/>
  <cols>
    <col min="1" max="1" width="13.54296875" customWidth="1"/>
    <col min="2" max="2" width="10.7265625" customWidth="1"/>
    <col min="3" max="3" width="13.1796875" customWidth="1"/>
    <col min="4" max="4" width="14.7265625" customWidth="1"/>
    <col min="5" max="5" width="7.81640625" bestFit="1" customWidth="1"/>
    <col min="6" max="6" width="16.453125" customWidth="1"/>
    <col min="7" max="7" width="17" customWidth="1"/>
    <col min="8" max="10" width="20.26953125" customWidth="1"/>
  </cols>
  <sheetData>
    <row r="1" spans="1:10" x14ac:dyDescent="0.35">
      <c r="A1" t="s">
        <v>0</v>
      </c>
      <c r="B1" t="s">
        <v>16</v>
      </c>
      <c r="C1" t="s">
        <v>3</v>
      </c>
      <c r="D1" t="s">
        <v>6</v>
      </c>
      <c r="E1" t="s">
        <v>228</v>
      </c>
      <c r="F1" t="s">
        <v>12</v>
      </c>
      <c r="G1" t="s">
        <v>15</v>
      </c>
      <c r="H1" t="s">
        <v>212</v>
      </c>
      <c r="I1" t="s">
        <v>213</v>
      </c>
      <c r="J1" t="s">
        <v>226</v>
      </c>
    </row>
    <row r="2" spans="1:10" x14ac:dyDescent="0.35">
      <c r="A2">
        <v>1</v>
      </c>
      <c r="B2">
        <v>25</v>
      </c>
      <c r="C2">
        <v>16</v>
      </c>
      <c r="D2">
        <v>16</v>
      </c>
      <c r="E2">
        <v>16</v>
      </c>
      <c r="F2">
        <v>16</v>
      </c>
      <c r="G2">
        <v>16</v>
      </c>
      <c r="H2">
        <v>16</v>
      </c>
      <c r="I2">
        <v>16</v>
      </c>
      <c r="J2">
        <v>16</v>
      </c>
    </row>
    <row r="3" spans="1:10" x14ac:dyDescent="0.35">
      <c r="A3">
        <v>2</v>
      </c>
      <c r="B3">
        <v>25</v>
      </c>
      <c r="C3">
        <v>20</v>
      </c>
      <c r="D3">
        <v>20</v>
      </c>
      <c r="E3">
        <v>20</v>
      </c>
      <c r="G3">
        <v>19</v>
      </c>
      <c r="H3">
        <v>20</v>
      </c>
      <c r="I3">
        <v>20</v>
      </c>
      <c r="J3">
        <v>20</v>
      </c>
    </row>
    <row r="4" spans="1:10" x14ac:dyDescent="0.35">
      <c r="A4">
        <v>3</v>
      </c>
      <c r="B4">
        <v>25</v>
      </c>
      <c r="C4">
        <v>21</v>
      </c>
      <c r="D4">
        <v>21</v>
      </c>
      <c r="E4">
        <v>21</v>
      </c>
      <c r="F4">
        <v>21</v>
      </c>
      <c r="G4">
        <v>21</v>
      </c>
      <c r="H4">
        <v>21</v>
      </c>
      <c r="I4">
        <v>21</v>
      </c>
      <c r="J4">
        <v>21</v>
      </c>
    </row>
    <row r="5" spans="1:10" x14ac:dyDescent="0.35">
      <c r="A5">
        <v>4</v>
      </c>
      <c r="B5">
        <v>25</v>
      </c>
      <c r="C5">
        <v>18</v>
      </c>
      <c r="D5">
        <v>18</v>
      </c>
      <c r="E5">
        <v>18</v>
      </c>
      <c r="F5">
        <v>18</v>
      </c>
      <c r="G5">
        <v>17</v>
      </c>
      <c r="H5">
        <v>17</v>
      </c>
      <c r="I5">
        <v>17</v>
      </c>
      <c r="J5">
        <v>17</v>
      </c>
    </row>
    <row r="6" spans="1:10" x14ac:dyDescent="0.35">
      <c r="A6">
        <v>5</v>
      </c>
      <c r="B6">
        <v>25</v>
      </c>
      <c r="C6">
        <v>22</v>
      </c>
      <c r="D6">
        <v>22</v>
      </c>
      <c r="E6">
        <v>22</v>
      </c>
      <c r="F6">
        <v>22</v>
      </c>
      <c r="G6">
        <v>22</v>
      </c>
      <c r="H6">
        <v>22</v>
      </c>
      <c r="I6">
        <v>22</v>
      </c>
      <c r="J6">
        <v>22</v>
      </c>
    </row>
    <row r="7" spans="1:10" x14ac:dyDescent="0.35">
      <c r="A7">
        <v>6</v>
      </c>
      <c r="B7">
        <v>25</v>
      </c>
      <c r="C7">
        <v>19</v>
      </c>
      <c r="D7">
        <v>19</v>
      </c>
      <c r="E7">
        <v>19</v>
      </c>
      <c r="G7">
        <v>19</v>
      </c>
      <c r="H7">
        <v>19</v>
      </c>
      <c r="I7">
        <v>19</v>
      </c>
      <c r="J7">
        <v>19</v>
      </c>
    </row>
    <row r="8" spans="1:10" x14ac:dyDescent="0.35">
      <c r="A8">
        <v>7</v>
      </c>
      <c r="B8">
        <v>25</v>
      </c>
      <c r="C8">
        <v>18</v>
      </c>
      <c r="D8">
        <v>18</v>
      </c>
      <c r="E8">
        <v>18</v>
      </c>
      <c r="G8">
        <v>18</v>
      </c>
      <c r="H8">
        <v>18</v>
      </c>
      <c r="I8">
        <v>18</v>
      </c>
      <c r="J8">
        <v>18</v>
      </c>
    </row>
    <row r="9" spans="1:10" x14ac:dyDescent="0.35">
      <c r="A9">
        <v>8</v>
      </c>
      <c r="B9">
        <v>25</v>
      </c>
      <c r="C9">
        <v>19</v>
      </c>
      <c r="D9">
        <v>19</v>
      </c>
      <c r="E9">
        <v>19</v>
      </c>
      <c r="G9">
        <v>19</v>
      </c>
      <c r="H9">
        <v>19</v>
      </c>
      <c r="I9">
        <v>19</v>
      </c>
      <c r="J9">
        <v>19</v>
      </c>
    </row>
    <row r="10" spans="1:10" x14ac:dyDescent="0.35">
      <c r="A10">
        <v>9</v>
      </c>
      <c r="B10">
        <v>25</v>
      </c>
      <c r="C10">
        <v>18</v>
      </c>
      <c r="D10">
        <v>18</v>
      </c>
      <c r="E10">
        <v>18</v>
      </c>
      <c r="G10">
        <v>18</v>
      </c>
      <c r="H10">
        <v>18</v>
      </c>
      <c r="I10">
        <v>18</v>
      </c>
      <c r="J10">
        <v>18</v>
      </c>
    </row>
    <row r="11" spans="1:10" x14ac:dyDescent="0.35">
      <c r="A11">
        <v>10</v>
      </c>
      <c r="B11">
        <v>25</v>
      </c>
      <c r="C11">
        <v>20</v>
      </c>
      <c r="D11">
        <v>20</v>
      </c>
      <c r="E11">
        <v>20</v>
      </c>
      <c r="G11">
        <v>12</v>
      </c>
      <c r="H11">
        <v>20</v>
      </c>
      <c r="I11">
        <v>20</v>
      </c>
      <c r="J11">
        <v>20</v>
      </c>
    </row>
    <row r="12" spans="1:10" x14ac:dyDescent="0.35">
      <c r="A12">
        <v>11</v>
      </c>
      <c r="B12">
        <v>40</v>
      </c>
      <c r="C12">
        <v>36</v>
      </c>
      <c r="D12">
        <v>36</v>
      </c>
      <c r="E12">
        <v>36</v>
      </c>
      <c r="G12">
        <v>31</v>
      </c>
      <c r="H12">
        <v>36</v>
      </c>
      <c r="I12">
        <v>36</v>
      </c>
      <c r="J12">
        <v>36</v>
      </c>
    </row>
    <row r="13" spans="1:10" x14ac:dyDescent="0.35">
      <c r="A13">
        <v>12</v>
      </c>
      <c r="B13">
        <v>40</v>
      </c>
      <c r="C13">
        <v>36</v>
      </c>
      <c r="D13">
        <v>36</v>
      </c>
      <c r="E13">
        <v>36</v>
      </c>
      <c r="G13">
        <v>36</v>
      </c>
      <c r="H13">
        <v>36</v>
      </c>
      <c r="I13">
        <v>36</v>
      </c>
      <c r="J13">
        <v>36</v>
      </c>
    </row>
    <row r="14" spans="1:10" x14ac:dyDescent="0.35">
      <c r="A14">
        <v>13</v>
      </c>
      <c r="B14">
        <v>40</v>
      </c>
      <c r="D14">
        <v>38</v>
      </c>
      <c r="E14">
        <v>38</v>
      </c>
      <c r="G14">
        <v>38</v>
      </c>
      <c r="H14">
        <v>38</v>
      </c>
      <c r="I14">
        <v>38</v>
      </c>
      <c r="J14">
        <v>38</v>
      </c>
    </row>
    <row r="15" spans="1:10" x14ac:dyDescent="0.35">
      <c r="A15">
        <v>14</v>
      </c>
      <c r="B15">
        <v>40</v>
      </c>
      <c r="C15">
        <v>39</v>
      </c>
      <c r="D15">
        <v>39</v>
      </c>
      <c r="E15">
        <v>39</v>
      </c>
      <c r="G15">
        <v>39</v>
      </c>
      <c r="H15">
        <v>39</v>
      </c>
      <c r="I15">
        <v>39</v>
      </c>
      <c r="J15">
        <v>39</v>
      </c>
    </row>
    <row r="16" spans="1:10" x14ac:dyDescent="0.35">
      <c r="A16">
        <v>15</v>
      </c>
      <c r="B16">
        <v>40</v>
      </c>
      <c r="C16">
        <v>36</v>
      </c>
      <c r="D16">
        <v>36</v>
      </c>
      <c r="E16">
        <v>36</v>
      </c>
      <c r="G16">
        <v>36</v>
      </c>
      <c r="H16">
        <v>36</v>
      </c>
      <c r="I16">
        <v>36</v>
      </c>
      <c r="J16">
        <v>36</v>
      </c>
    </row>
    <row r="17" spans="1:10" x14ac:dyDescent="0.35">
      <c r="A17">
        <v>16</v>
      </c>
      <c r="B17">
        <v>40</v>
      </c>
      <c r="C17">
        <v>34</v>
      </c>
      <c r="D17">
        <v>34</v>
      </c>
      <c r="E17">
        <v>34</v>
      </c>
      <c r="G17">
        <v>33</v>
      </c>
      <c r="H17">
        <v>34</v>
      </c>
      <c r="I17">
        <v>34</v>
      </c>
      <c r="J17">
        <v>34</v>
      </c>
    </row>
    <row r="18" spans="1:10" x14ac:dyDescent="0.35">
      <c r="A18">
        <v>17</v>
      </c>
      <c r="B18">
        <v>40</v>
      </c>
      <c r="C18">
        <v>36</v>
      </c>
      <c r="D18">
        <v>36</v>
      </c>
      <c r="E18">
        <v>36</v>
      </c>
      <c r="G18">
        <v>35</v>
      </c>
      <c r="H18">
        <v>35</v>
      </c>
      <c r="I18">
        <v>36</v>
      </c>
      <c r="J18">
        <v>36</v>
      </c>
    </row>
    <row r="19" spans="1:10" x14ac:dyDescent="0.35">
      <c r="A19">
        <v>18</v>
      </c>
      <c r="B19">
        <v>40</v>
      </c>
      <c r="C19">
        <v>38</v>
      </c>
      <c r="D19">
        <v>38</v>
      </c>
      <c r="E19">
        <v>38</v>
      </c>
      <c r="G19">
        <v>38</v>
      </c>
      <c r="H19">
        <v>38</v>
      </c>
      <c r="I19">
        <v>38</v>
      </c>
      <c r="J19">
        <v>38</v>
      </c>
    </row>
    <row r="20" spans="1:10" x14ac:dyDescent="0.35">
      <c r="A20">
        <v>19</v>
      </c>
      <c r="B20">
        <v>40</v>
      </c>
      <c r="C20">
        <v>34</v>
      </c>
      <c r="D20">
        <v>34</v>
      </c>
      <c r="E20">
        <v>34</v>
      </c>
      <c r="G20">
        <v>34</v>
      </c>
      <c r="H20">
        <v>34</v>
      </c>
      <c r="I20">
        <v>34</v>
      </c>
      <c r="J20">
        <v>34</v>
      </c>
    </row>
    <row r="21" spans="1:10" x14ac:dyDescent="0.35">
      <c r="A21">
        <v>20</v>
      </c>
      <c r="B21">
        <v>40</v>
      </c>
      <c r="D21">
        <v>36</v>
      </c>
      <c r="E21">
        <v>36</v>
      </c>
      <c r="G21">
        <v>36</v>
      </c>
      <c r="H21">
        <v>36</v>
      </c>
      <c r="I21">
        <v>36</v>
      </c>
      <c r="J21">
        <v>36</v>
      </c>
    </row>
    <row r="22" spans="1:10" x14ac:dyDescent="0.35">
      <c r="A22">
        <v>21</v>
      </c>
      <c r="B22">
        <v>50</v>
      </c>
      <c r="D22">
        <v>46</v>
      </c>
      <c r="E22">
        <v>46</v>
      </c>
      <c r="G22">
        <v>46</v>
      </c>
      <c r="H22">
        <v>46</v>
      </c>
      <c r="I22">
        <v>46</v>
      </c>
      <c r="J22">
        <v>46</v>
      </c>
    </row>
    <row r="23" spans="1:10" x14ac:dyDescent="0.35">
      <c r="A23">
        <v>22</v>
      </c>
      <c r="B23">
        <v>50</v>
      </c>
      <c r="D23">
        <v>49</v>
      </c>
      <c r="E23">
        <v>49</v>
      </c>
      <c r="G23">
        <v>48</v>
      </c>
      <c r="H23">
        <v>49</v>
      </c>
      <c r="I23">
        <v>49</v>
      </c>
      <c r="J23">
        <v>49</v>
      </c>
    </row>
    <row r="24" spans="1:10" x14ac:dyDescent="0.35">
      <c r="A24">
        <v>23</v>
      </c>
      <c r="B24">
        <v>50</v>
      </c>
      <c r="D24">
        <v>48</v>
      </c>
      <c r="E24">
        <v>48</v>
      </c>
      <c r="G24">
        <v>47</v>
      </c>
      <c r="H24">
        <v>47</v>
      </c>
      <c r="I24">
        <v>48</v>
      </c>
      <c r="J24">
        <v>48</v>
      </c>
    </row>
    <row r="25" spans="1:10" x14ac:dyDescent="0.35">
      <c r="A25">
        <v>24</v>
      </c>
      <c r="B25">
        <v>50</v>
      </c>
      <c r="D25">
        <v>48</v>
      </c>
      <c r="E25">
        <v>48</v>
      </c>
      <c r="G25">
        <v>46</v>
      </c>
      <c r="H25">
        <v>48</v>
      </c>
      <c r="I25">
        <v>48</v>
      </c>
      <c r="J25">
        <v>48</v>
      </c>
    </row>
    <row r="26" spans="1:10" x14ac:dyDescent="0.35">
      <c r="A26">
        <v>25</v>
      </c>
      <c r="B26">
        <v>50</v>
      </c>
      <c r="D26">
        <v>44</v>
      </c>
      <c r="E26">
        <v>44</v>
      </c>
      <c r="G26">
        <v>42</v>
      </c>
      <c r="H26">
        <v>43</v>
      </c>
      <c r="I26">
        <v>44</v>
      </c>
      <c r="J26">
        <v>44</v>
      </c>
    </row>
    <row r="27" spans="1:10" x14ac:dyDescent="0.35">
      <c r="A27">
        <v>26</v>
      </c>
      <c r="B27">
        <v>50</v>
      </c>
      <c r="D27">
        <v>45</v>
      </c>
      <c r="E27">
        <v>45</v>
      </c>
      <c r="G27">
        <v>44</v>
      </c>
      <c r="H27">
        <v>45</v>
      </c>
      <c r="I27">
        <v>45</v>
      </c>
      <c r="J27">
        <v>45</v>
      </c>
    </row>
    <row r="28" spans="1:10" x14ac:dyDescent="0.35">
      <c r="A28">
        <v>27</v>
      </c>
      <c r="B28">
        <v>50</v>
      </c>
      <c r="D28">
        <v>46</v>
      </c>
      <c r="E28">
        <v>46</v>
      </c>
      <c r="G28">
        <v>46</v>
      </c>
      <c r="H28">
        <v>46</v>
      </c>
      <c r="I28">
        <v>46</v>
      </c>
      <c r="J28">
        <v>46</v>
      </c>
    </row>
    <row r="29" spans="1:10" x14ac:dyDescent="0.35">
      <c r="A29">
        <v>28</v>
      </c>
      <c r="B29">
        <v>50</v>
      </c>
      <c r="D29">
        <v>47</v>
      </c>
      <c r="E29">
        <v>47</v>
      </c>
      <c r="G29">
        <v>46</v>
      </c>
      <c r="H29">
        <v>46</v>
      </c>
      <c r="I29">
        <v>46</v>
      </c>
      <c r="J29">
        <v>46</v>
      </c>
    </row>
    <row r="30" spans="1:10" x14ac:dyDescent="0.35">
      <c r="A30">
        <v>29</v>
      </c>
      <c r="B30">
        <v>50</v>
      </c>
      <c r="D30">
        <v>47</v>
      </c>
      <c r="E30">
        <v>47</v>
      </c>
      <c r="G30">
        <v>47</v>
      </c>
      <c r="H30">
        <v>47</v>
      </c>
      <c r="I30">
        <v>47</v>
      </c>
      <c r="J30">
        <v>47</v>
      </c>
    </row>
    <row r="31" spans="1:10" x14ac:dyDescent="0.35">
      <c r="A31">
        <v>30</v>
      </c>
      <c r="B31">
        <v>50</v>
      </c>
      <c r="D31">
        <v>44</v>
      </c>
      <c r="E31">
        <v>44</v>
      </c>
      <c r="G31">
        <v>44</v>
      </c>
      <c r="H31">
        <v>44</v>
      </c>
      <c r="I31">
        <v>44</v>
      </c>
      <c r="J31">
        <v>44</v>
      </c>
    </row>
    <row r="32" spans="1:10" x14ac:dyDescent="0.35">
      <c r="A32">
        <v>31</v>
      </c>
      <c r="B32">
        <v>75</v>
      </c>
      <c r="D32">
        <v>71</v>
      </c>
      <c r="G32">
        <v>71</v>
      </c>
      <c r="H32">
        <v>71</v>
      </c>
      <c r="I32">
        <v>71</v>
      </c>
      <c r="J32">
        <v>71</v>
      </c>
    </row>
    <row r="33" spans="1:10" x14ac:dyDescent="0.35">
      <c r="A33">
        <v>32</v>
      </c>
      <c r="B33">
        <v>75</v>
      </c>
      <c r="D33">
        <v>71</v>
      </c>
      <c r="G33">
        <v>71</v>
      </c>
      <c r="H33">
        <v>71</v>
      </c>
      <c r="I33">
        <v>71</v>
      </c>
      <c r="J33">
        <v>71</v>
      </c>
    </row>
    <row r="34" spans="1:10" x14ac:dyDescent="0.35">
      <c r="A34">
        <v>33</v>
      </c>
      <c r="B34">
        <v>75</v>
      </c>
      <c r="D34">
        <v>72</v>
      </c>
      <c r="G34">
        <v>71</v>
      </c>
      <c r="H34">
        <v>72</v>
      </c>
      <c r="I34">
        <v>72</v>
      </c>
      <c r="J34">
        <v>72</v>
      </c>
    </row>
    <row r="35" spans="1:10" x14ac:dyDescent="0.35">
      <c r="A35">
        <v>34</v>
      </c>
      <c r="B35">
        <v>75</v>
      </c>
      <c r="D35">
        <v>74</v>
      </c>
      <c r="G35">
        <v>74</v>
      </c>
      <c r="H35">
        <v>74</v>
      </c>
      <c r="I35">
        <v>74</v>
      </c>
      <c r="J35">
        <v>74</v>
      </c>
    </row>
    <row r="36" spans="1:10" x14ac:dyDescent="0.35">
      <c r="A36">
        <v>35</v>
      </c>
      <c r="B36">
        <v>75</v>
      </c>
      <c r="D36">
        <v>71</v>
      </c>
      <c r="G36">
        <v>71</v>
      </c>
      <c r="H36">
        <v>71</v>
      </c>
      <c r="I36">
        <v>71</v>
      </c>
      <c r="J36">
        <v>71</v>
      </c>
    </row>
    <row r="37" spans="1:10" x14ac:dyDescent="0.35">
      <c r="A37">
        <v>36</v>
      </c>
      <c r="B37">
        <v>75</v>
      </c>
      <c r="D37">
        <v>65</v>
      </c>
      <c r="G37">
        <v>59</v>
      </c>
      <c r="H37">
        <v>64</v>
      </c>
      <c r="I37">
        <v>64</v>
      </c>
      <c r="J37">
        <v>65</v>
      </c>
    </row>
    <row r="38" spans="1:10" x14ac:dyDescent="0.35">
      <c r="A38">
        <v>37</v>
      </c>
      <c r="B38">
        <v>75</v>
      </c>
      <c r="D38">
        <v>69</v>
      </c>
      <c r="G38">
        <v>65</v>
      </c>
      <c r="H38">
        <v>69</v>
      </c>
      <c r="I38">
        <v>69</v>
      </c>
      <c r="J38">
        <v>69</v>
      </c>
    </row>
    <row r="39" spans="1:10" x14ac:dyDescent="0.35">
      <c r="A39">
        <v>38</v>
      </c>
      <c r="B39">
        <v>75</v>
      </c>
      <c r="D39">
        <v>73</v>
      </c>
      <c r="G39">
        <v>72</v>
      </c>
      <c r="H39">
        <v>73</v>
      </c>
      <c r="I39">
        <v>73</v>
      </c>
      <c r="J39">
        <v>73</v>
      </c>
    </row>
    <row r="40" spans="1:10" x14ac:dyDescent="0.35">
      <c r="A40">
        <v>39</v>
      </c>
      <c r="B40">
        <v>75</v>
      </c>
      <c r="D40">
        <v>69</v>
      </c>
      <c r="G40">
        <v>68</v>
      </c>
      <c r="H40">
        <v>69</v>
      </c>
      <c r="I40">
        <v>69</v>
      </c>
      <c r="J40">
        <v>69</v>
      </c>
    </row>
    <row r="41" spans="1:10" x14ac:dyDescent="0.35">
      <c r="A41">
        <v>40</v>
      </c>
      <c r="B41">
        <v>75</v>
      </c>
      <c r="D41">
        <v>69</v>
      </c>
      <c r="G41">
        <v>62</v>
      </c>
      <c r="H41">
        <v>68</v>
      </c>
      <c r="I41">
        <v>68</v>
      </c>
      <c r="J41">
        <v>68</v>
      </c>
    </row>
    <row r="42" spans="1:10" x14ac:dyDescent="0.35">
      <c r="A42">
        <v>41</v>
      </c>
      <c r="B42">
        <v>100</v>
      </c>
      <c r="D42">
        <v>99</v>
      </c>
      <c r="G42">
        <v>97</v>
      </c>
      <c r="H42">
        <v>99</v>
      </c>
      <c r="I42">
        <v>99</v>
      </c>
      <c r="J42">
        <v>99</v>
      </c>
    </row>
    <row r="43" spans="1:10" x14ac:dyDescent="0.35">
      <c r="A43">
        <v>42</v>
      </c>
      <c r="B43">
        <v>100</v>
      </c>
      <c r="D43">
        <v>97</v>
      </c>
      <c r="G43">
        <v>97</v>
      </c>
      <c r="H43">
        <v>97</v>
      </c>
      <c r="I43">
        <v>97</v>
      </c>
      <c r="J43">
        <v>97</v>
      </c>
    </row>
    <row r="44" spans="1:10" x14ac:dyDescent="0.35">
      <c r="A44">
        <v>43</v>
      </c>
      <c r="B44">
        <v>100</v>
      </c>
      <c r="D44">
        <v>96</v>
      </c>
      <c r="G44">
        <v>95</v>
      </c>
      <c r="H44">
        <v>96</v>
      </c>
      <c r="I44">
        <v>96</v>
      </c>
      <c r="J44">
        <v>96</v>
      </c>
    </row>
    <row r="45" spans="1:10" x14ac:dyDescent="0.35">
      <c r="A45">
        <v>44</v>
      </c>
      <c r="B45">
        <v>100</v>
      </c>
      <c r="D45">
        <v>98</v>
      </c>
      <c r="G45">
        <v>97</v>
      </c>
      <c r="H45">
        <v>98</v>
      </c>
      <c r="I45">
        <v>98</v>
      </c>
      <c r="J45">
        <v>98</v>
      </c>
    </row>
    <row r="46" spans="1:10" x14ac:dyDescent="0.35">
      <c r="A46">
        <v>45</v>
      </c>
      <c r="B46">
        <v>100</v>
      </c>
      <c r="D46">
        <v>95</v>
      </c>
      <c r="G46">
        <v>94</v>
      </c>
      <c r="H46">
        <v>95</v>
      </c>
      <c r="I46">
        <v>95</v>
      </c>
      <c r="J46">
        <v>95</v>
      </c>
    </row>
    <row r="47" spans="1:10" x14ac:dyDescent="0.35">
      <c r="A47">
        <v>46</v>
      </c>
      <c r="B47">
        <v>100</v>
      </c>
      <c r="D47">
        <v>94</v>
      </c>
      <c r="G47">
        <v>92</v>
      </c>
      <c r="H47">
        <v>93</v>
      </c>
      <c r="I47">
        <v>93</v>
      </c>
      <c r="J47">
        <v>93</v>
      </c>
    </row>
    <row r="48" spans="1:10" x14ac:dyDescent="0.35">
      <c r="A48">
        <v>47</v>
      </c>
      <c r="B48">
        <v>100</v>
      </c>
      <c r="D48">
        <v>97</v>
      </c>
      <c r="G48">
        <v>95</v>
      </c>
      <c r="H48">
        <v>97</v>
      </c>
      <c r="I48">
        <v>97</v>
      </c>
      <c r="J48">
        <v>97</v>
      </c>
    </row>
    <row r="49" spans="1:10" x14ac:dyDescent="0.35">
      <c r="A49">
        <v>48</v>
      </c>
      <c r="B49">
        <v>100</v>
      </c>
      <c r="D49">
        <v>89</v>
      </c>
      <c r="G49">
        <v>86</v>
      </c>
      <c r="H49">
        <v>89</v>
      </c>
      <c r="I49">
        <v>89</v>
      </c>
      <c r="J49">
        <v>89</v>
      </c>
    </row>
    <row r="50" spans="1:10" x14ac:dyDescent="0.35">
      <c r="A50">
        <v>49</v>
      </c>
      <c r="B50">
        <v>100</v>
      </c>
      <c r="D50">
        <v>98</v>
      </c>
      <c r="G50">
        <v>97</v>
      </c>
      <c r="H50">
        <v>98</v>
      </c>
      <c r="I50">
        <v>98</v>
      </c>
      <c r="J50">
        <v>98</v>
      </c>
    </row>
    <row r="51" spans="1:10" x14ac:dyDescent="0.35">
      <c r="A51">
        <v>50</v>
      </c>
      <c r="B51">
        <v>100</v>
      </c>
      <c r="D51">
        <v>96</v>
      </c>
      <c r="G51">
        <v>96</v>
      </c>
      <c r="H51">
        <v>96</v>
      </c>
      <c r="I51">
        <v>96</v>
      </c>
      <c r="J51">
        <v>96</v>
      </c>
    </row>
    <row r="52" spans="1:10" x14ac:dyDescent="0.35">
      <c r="A52">
        <v>51</v>
      </c>
      <c r="B52">
        <v>20</v>
      </c>
      <c r="C52">
        <v>11</v>
      </c>
      <c r="D52">
        <v>11</v>
      </c>
      <c r="E52">
        <v>11</v>
      </c>
      <c r="F52">
        <v>11</v>
      </c>
      <c r="G52">
        <v>10</v>
      </c>
      <c r="H52">
        <v>11</v>
      </c>
      <c r="I52">
        <v>11</v>
      </c>
      <c r="J52">
        <v>11</v>
      </c>
    </row>
    <row r="53" spans="1:10" x14ac:dyDescent="0.35">
      <c r="A53">
        <v>52</v>
      </c>
      <c r="B53">
        <v>20</v>
      </c>
      <c r="C53">
        <v>15</v>
      </c>
      <c r="D53">
        <v>15</v>
      </c>
      <c r="E53">
        <v>15</v>
      </c>
      <c r="G53">
        <v>13</v>
      </c>
      <c r="H53">
        <v>15</v>
      </c>
      <c r="I53">
        <v>15</v>
      </c>
      <c r="J53">
        <v>15</v>
      </c>
    </row>
    <row r="54" spans="1:10" x14ac:dyDescent="0.35">
      <c r="A54">
        <v>53</v>
      </c>
      <c r="B54">
        <v>20</v>
      </c>
      <c r="C54">
        <v>15</v>
      </c>
      <c r="D54">
        <v>15</v>
      </c>
      <c r="E54">
        <v>15</v>
      </c>
      <c r="F54">
        <v>15</v>
      </c>
      <c r="G54">
        <v>14</v>
      </c>
      <c r="H54">
        <v>15</v>
      </c>
      <c r="I54">
        <v>15</v>
      </c>
      <c r="J54">
        <v>15</v>
      </c>
    </row>
    <row r="55" spans="1:10" x14ac:dyDescent="0.35">
      <c r="A55">
        <v>54</v>
      </c>
      <c r="B55">
        <v>20</v>
      </c>
      <c r="C55">
        <v>15</v>
      </c>
      <c r="D55">
        <v>15</v>
      </c>
      <c r="E55">
        <v>15</v>
      </c>
      <c r="F55">
        <v>15</v>
      </c>
      <c r="G55">
        <v>15</v>
      </c>
      <c r="H55">
        <v>15</v>
      </c>
      <c r="I55">
        <v>15</v>
      </c>
      <c r="J55">
        <v>15</v>
      </c>
    </row>
    <row r="56" spans="1:10" x14ac:dyDescent="0.35">
      <c r="A56">
        <v>55</v>
      </c>
      <c r="B56">
        <v>20</v>
      </c>
      <c r="C56">
        <v>15</v>
      </c>
      <c r="D56">
        <v>15</v>
      </c>
      <c r="E56">
        <v>15</v>
      </c>
      <c r="F56">
        <v>15</v>
      </c>
      <c r="G56">
        <v>15</v>
      </c>
      <c r="H56">
        <v>15</v>
      </c>
      <c r="I56">
        <v>15</v>
      </c>
      <c r="J56">
        <v>15</v>
      </c>
    </row>
    <row r="57" spans="1:10" x14ac:dyDescent="0.35">
      <c r="A57">
        <v>56</v>
      </c>
      <c r="B57">
        <v>20</v>
      </c>
      <c r="C57">
        <v>12</v>
      </c>
      <c r="D57">
        <v>12</v>
      </c>
      <c r="E57">
        <v>12</v>
      </c>
      <c r="F57">
        <v>12</v>
      </c>
      <c r="G57">
        <v>8</v>
      </c>
      <c r="H57">
        <v>12</v>
      </c>
      <c r="I57">
        <v>12</v>
      </c>
      <c r="J57">
        <v>12</v>
      </c>
    </row>
    <row r="58" spans="1:10" x14ac:dyDescent="0.35">
      <c r="A58">
        <v>57</v>
      </c>
      <c r="B58">
        <v>20</v>
      </c>
      <c r="C58">
        <v>16</v>
      </c>
      <c r="D58">
        <v>16</v>
      </c>
      <c r="E58">
        <v>16</v>
      </c>
      <c r="G58">
        <v>16</v>
      </c>
      <c r="H58">
        <v>16</v>
      </c>
      <c r="I58">
        <v>16</v>
      </c>
      <c r="J58">
        <v>16</v>
      </c>
    </row>
    <row r="59" spans="1:10" x14ac:dyDescent="0.35">
      <c r="A59">
        <v>58</v>
      </c>
      <c r="B59">
        <v>20</v>
      </c>
      <c r="C59">
        <v>14</v>
      </c>
      <c r="D59">
        <v>14</v>
      </c>
      <c r="E59">
        <v>14</v>
      </c>
      <c r="G59">
        <v>14</v>
      </c>
      <c r="H59">
        <v>14</v>
      </c>
      <c r="I59">
        <v>14</v>
      </c>
      <c r="J59">
        <v>14</v>
      </c>
    </row>
    <row r="60" spans="1:10" s="3" customFormat="1" x14ac:dyDescent="0.35">
      <c r="A60" s="3">
        <v>59</v>
      </c>
      <c r="B60" s="3">
        <v>20</v>
      </c>
      <c r="C60" s="3">
        <v>18</v>
      </c>
      <c r="D60" s="3">
        <v>18</v>
      </c>
      <c r="E60" s="3">
        <v>18</v>
      </c>
      <c r="F60" s="3">
        <v>18</v>
      </c>
      <c r="G60" s="3">
        <v>17</v>
      </c>
      <c r="H60" s="3">
        <v>17</v>
      </c>
      <c r="I60" s="3">
        <v>17</v>
      </c>
      <c r="J60" s="3">
        <v>17</v>
      </c>
    </row>
    <row r="61" spans="1:10" x14ac:dyDescent="0.35">
      <c r="A61">
        <v>60</v>
      </c>
      <c r="B61">
        <v>20</v>
      </c>
      <c r="C61">
        <v>16</v>
      </c>
      <c r="D61">
        <v>16</v>
      </c>
      <c r="E61">
        <v>16</v>
      </c>
      <c r="G61">
        <v>16</v>
      </c>
      <c r="H61">
        <v>16</v>
      </c>
      <c r="I61">
        <v>16</v>
      </c>
      <c r="J61">
        <v>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FD154-664C-4AB8-8AC0-F8B385D16E19}">
  <dimension ref="A1:J62"/>
  <sheetViews>
    <sheetView topLeftCell="C31" workbookViewId="0">
      <selection activeCell="H60" sqref="H60"/>
    </sheetView>
  </sheetViews>
  <sheetFormatPr defaultRowHeight="14.5" x14ac:dyDescent="0.35"/>
  <cols>
    <col min="1" max="1" width="13.54296875" customWidth="1"/>
    <col min="2" max="2" width="14.7265625" bestFit="1" customWidth="1"/>
    <col min="3" max="3" width="15.453125" customWidth="1"/>
    <col min="4" max="4" width="13.7265625" bestFit="1" customWidth="1"/>
    <col min="5" max="5" width="17.1796875" customWidth="1"/>
    <col min="6" max="6" width="17.7265625" customWidth="1"/>
    <col min="7" max="7" width="17" customWidth="1"/>
    <col min="8" max="9" width="16.54296875" customWidth="1"/>
  </cols>
  <sheetData>
    <row r="1" spans="1:10" x14ac:dyDescent="0.35">
      <c r="A1" t="s">
        <v>0</v>
      </c>
      <c r="B1" t="s">
        <v>1</v>
      </c>
      <c r="C1" t="s">
        <v>4</v>
      </c>
      <c r="D1" t="s">
        <v>7</v>
      </c>
      <c r="E1" t="s">
        <v>10</v>
      </c>
      <c r="F1" t="s">
        <v>13</v>
      </c>
      <c r="G1" t="s">
        <v>219</v>
      </c>
      <c r="H1" t="s">
        <v>220</v>
      </c>
      <c r="I1" t="s">
        <v>227</v>
      </c>
      <c r="J1" t="s">
        <v>230</v>
      </c>
    </row>
    <row r="2" spans="1:10" x14ac:dyDescent="0.35">
      <c r="A2">
        <v>1</v>
      </c>
      <c r="B2" s="1">
        <v>0.17613744735717701</v>
      </c>
      <c r="C2" s="1">
        <v>13.040886640548701</v>
      </c>
      <c r="D2" s="1">
        <v>47.8435056209564</v>
      </c>
      <c r="E2" s="1">
        <v>23232.2081673145</v>
      </c>
      <c r="F2" s="1">
        <v>1.48313045501708E-2</v>
      </c>
      <c r="G2" s="1">
        <v>0.109712528000045</v>
      </c>
      <c r="H2" s="1">
        <v>0.24466503200005699</v>
      </c>
      <c r="I2" s="1">
        <v>0.308791853000002</v>
      </c>
      <c r="J2">
        <v>25</v>
      </c>
    </row>
    <row r="3" spans="1:10" x14ac:dyDescent="0.35">
      <c r="A3">
        <v>2</v>
      </c>
      <c r="B3" s="1">
        <v>0.155776977539062</v>
      </c>
      <c r="C3" s="1">
        <v>5.0183191299438397</v>
      </c>
      <c r="D3" s="1">
        <v>17.926093339920001</v>
      </c>
      <c r="E3" s="1">
        <v>86400.072399616198</v>
      </c>
      <c r="F3" s="1">
        <v>4.5094490051269497E-3</v>
      </c>
      <c r="G3" s="1">
        <v>0.11747763900007099</v>
      </c>
      <c r="H3" s="1">
        <v>0.52612252900007594</v>
      </c>
      <c r="I3" s="1">
        <v>0.60000323900021602</v>
      </c>
      <c r="J3">
        <v>25</v>
      </c>
    </row>
    <row r="4" spans="1:10" x14ac:dyDescent="0.35">
      <c r="A4">
        <v>3</v>
      </c>
      <c r="B4" s="1">
        <v>3.4204645156860298</v>
      </c>
      <c r="C4" s="1">
        <v>10.010939359664899</v>
      </c>
      <c r="D4" s="1">
        <v>17.008090019226</v>
      </c>
      <c r="E4" s="1">
        <v>1425.4224481582601</v>
      </c>
      <c r="F4" s="1">
        <v>4.02426719665527E-3</v>
      </c>
      <c r="G4" s="1">
        <v>8.4758129999954607E-2</v>
      </c>
      <c r="H4" s="1">
        <v>0.45713655099984801</v>
      </c>
      <c r="I4" s="1">
        <v>0.68429619800008301</v>
      </c>
      <c r="J4">
        <v>25</v>
      </c>
    </row>
    <row r="5" spans="1:10" x14ac:dyDescent="0.35">
      <c r="A5">
        <v>4</v>
      </c>
      <c r="B5" s="1">
        <v>0.351595878601074</v>
      </c>
      <c r="C5" s="1">
        <v>8.5404961109161306</v>
      </c>
      <c r="D5" s="1">
        <v>27.0141856670379</v>
      </c>
      <c r="E5" s="1">
        <v>79622.901596307696</v>
      </c>
      <c r="F5" s="1">
        <v>4.1053295135498004E-3</v>
      </c>
      <c r="G5" s="1">
        <v>5.7115339000120002E-2</v>
      </c>
      <c r="H5" s="1">
        <v>6.5240530999972096E-2</v>
      </c>
      <c r="I5" s="1">
        <v>6.1295366000194897E-2</v>
      </c>
      <c r="J5">
        <v>25</v>
      </c>
    </row>
    <row r="6" spans="1:10" x14ac:dyDescent="0.35">
      <c r="A6">
        <v>5</v>
      </c>
      <c r="B6" s="1">
        <v>1.79218649864196</v>
      </c>
      <c r="C6" s="1">
        <v>10.0670824050903</v>
      </c>
      <c r="D6" s="1">
        <v>20.0004465579986</v>
      </c>
      <c r="E6" s="1">
        <v>43438.653435230197</v>
      </c>
      <c r="F6" s="1">
        <v>4.1453838348388602E-3</v>
      </c>
      <c r="G6" s="1">
        <v>6.33881060000476E-2</v>
      </c>
      <c r="H6" s="1">
        <v>0.45006092499988798</v>
      </c>
      <c r="I6" s="1">
        <v>0.53941635699993595</v>
      </c>
      <c r="J6">
        <v>25</v>
      </c>
    </row>
    <row r="7" spans="1:10" x14ac:dyDescent="0.35">
      <c r="A7">
        <v>6</v>
      </c>
      <c r="B7" s="1">
        <v>0.19284844398498499</v>
      </c>
      <c r="C7" s="1">
        <v>10.538142442703201</v>
      </c>
      <c r="D7" s="1">
        <v>37.179535388946498</v>
      </c>
      <c r="E7" s="1">
        <v>86400.035922765703</v>
      </c>
      <c r="F7" s="1">
        <v>4.6305656433105399E-3</v>
      </c>
      <c r="G7" s="1">
        <v>6.5004193000049698E-2</v>
      </c>
      <c r="H7" s="1">
        <v>0.172288731999969</v>
      </c>
      <c r="I7" s="1">
        <v>0.23622381599943701</v>
      </c>
      <c r="J7">
        <v>25</v>
      </c>
    </row>
    <row r="8" spans="1:10" x14ac:dyDescent="0.35">
      <c r="A8">
        <v>7</v>
      </c>
      <c r="B8" s="1">
        <v>2.04270243644714</v>
      </c>
      <c r="C8" s="1">
        <v>13.6858465671539</v>
      </c>
      <c r="D8" s="1">
        <v>43.679955959319997</v>
      </c>
      <c r="E8" s="1">
        <v>86400.141284465702</v>
      </c>
      <c r="F8" s="1">
        <v>4.2986869812011701E-3</v>
      </c>
      <c r="G8" s="1">
        <v>7.2989716000165503E-2</v>
      </c>
      <c r="H8" s="1">
        <v>0.36620988200002103</v>
      </c>
      <c r="I8" s="1">
        <v>0.82860088500001405</v>
      </c>
      <c r="J8">
        <v>25</v>
      </c>
    </row>
    <row r="9" spans="1:10" x14ac:dyDescent="0.35">
      <c r="A9">
        <v>8</v>
      </c>
      <c r="B9" s="1">
        <v>1.88013172149658</v>
      </c>
      <c r="C9" s="1">
        <v>15.0325124263763</v>
      </c>
      <c r="D9" s="1">
        <v>35.265093088150003</v>
      </c>
      <c r="E9" s="1">
        <v>86400.195896625504</v>
      </c>
      <c r="F9" s="1">
        <v>4.3210983276367101E-3</v>
      </c>
      <c r="G9" s="1">
        <v>8.1918735000044707E-2</v>
      </c>
      <c r="H9" s="1">
        <v>0.33166469000002502</v>
      </c>
      <c r="I9" s="1">
        <v>0.70843770800001904</v>
      </c>
      <c r="J9">
        <v>25</v>
      </c>
    </row>
    <row r="10" spans="1:10" x14ac:dyDescent="0.35">
      <c r="A10">
        <v>9</v>
      </c>
      <c r="B10" s="1">
        <v>0.31319165229797302</v>
      </c>
      <c r="C10" s="1">
        <v>27.342374086380001</v>
      </c>
      <c r="D10" s="1">
        <v>46.145465373992899</v>
      </c>
      <c r="E10" s="1">
        <v>86400.132020473393</v>
      </c>
      <c r="F10" s="1">
        <v>4.4243335723876901E-3</v>
      </c>
      <c r="G10" s="1">
        <v>8.2151050999982503E-2</v>
      </c>
      <c r="H10" s="1">
        <v>0.21359488900020501</v>
      </c>
      <c r="I10" s="1">
        <v>0.25433832799990302</v>
      </c>
      <c r="J10">
        <v>25</v>
      </c>
    </row>
    <row r="11" spans="1:10" s="3" customFormat="1" x14ac:dyDescent="0.35">
      <c r="A11" s="3">
        <v>10</v>
      </c>
      <c r="B11" s="4">
        <v>0.11955213546752901</v>
      </c>
      <c r="C11" s="4">
        <v>8.4801874160766602</v>
      </c>
      <c r="D11" s="4">
        <v>30.6950695514678</v>
      </c>
      <c r="E11" s="4">
        <v>86400.117207765506</v>
      </c>
      <c r="F11" s="4">
        <v>4.1575431823730399E-3</v>
      </c>
      <c r="G11" s="4">
        <v>8.0581652000091694E-2</v>
      </c>
      <c r="H11" s="4">
        <v>0.29245951100006001</v>
      </c>
      <c r="I11" s="4">
        <v>0.36288929600050301</v>
      </c>
      <c r="J11" s="3">
        <v>25</v>
      </c>
    </row>
    <row r="12" spans="1:10" x14ac:dyDescent="0.35">
      <c r="A12">
        <v>11</v>
      </c>
      <c r="B12" s="1">
        <v>756.54569530487004</v>
      </c>
      <c r="C12" s="1">
        <v>78.926250696182194</v>
      </c>
      <c r="D12" s="1">
        <v>336.39172744750903</v>
      </c>
      <c r="E12" s="1"/>
      <c r="F12" s="1">
        <v>5.05590438842773E-3</v>
      </c>
      <c r="G12" s="1">
        <v>0.50610813200000804</v>
      </c>
      <c r="H12" s="1">
        <v>2.7042357999998701</v>
      </c>
      <c r="I12" s="1">
        <v>3.87154061000001</v>
      </c>
      <c r="J12">
        <v>40</v>
      </c>
    </row>
    <row r="13" spans="1:10" x14ac:dyDescent="0.35">
      <c r="A13">
        <v>12</v>
      </c>
      <c r="B13" s="1">
        <v>10313.590175151799</v>
      </c>
      <c r="C13" s="1">
        <v>57.669784307479802</v>
      </c>
      <c r="D13" s="1">
        <v>124.701942443847</v>
      </c>
      <c r="E13" s="1"/>
      <c r="F13" s="1">
        <v>4.7380924224853498E-3</v>
      </c>
      <c r="G13" s="1">
        <v>0.53833238099991798</v>
      </c>
      <c r="H13" s="1">
        <v>7.6538229650000096</v>
      </c>
      <c r="I13" s="1">
        <v>13.8645583409997</v>
      </c>
      <c r="J13">
        <v>40</v>
      </c>
    </row>
    <row r="14" spans="1:10" x14ac:dyDescent="0.35">
      <c r="A14">
        <v>13</v>
      </c>
      <c r="B14" s="1">
        <v>86400.276016235293</v>
      </c>
      <c r="C14" s="1">
        <v>92.590262651443396</v>
      </c>
      <c r="D14" s="1">
        <v>196.18166255950899</v>
      </c>
      <c r="E14" s="1"/>
      <c r="F14" s="1">
        <v>4.8034191131591797E-3</v>
      </c>
      <c r="G14" s="1">
        <v>0.60947377500019595</v>
      </c>
      <c r="H14" s="1">
        <v>3.7199466290001002</v>
      </c>
      <c r="I14" s="1">
        <v>14.8439637400006</v>
      </c>
      <c r="J14">
        <v>40</v>
      </c>
    </row>
    <row r="15" spans="1:10" x14ac:dyDescent="0.35">
      <c r="A15">
        <v>14</v>
      </c>
      <c r="B15" s="1">
        <v>2821.6056025028201</v>
      </c>
      <c r="C15" s="1">
        <v>49.555662393569897</v>
      </c>
      <c r="D15" s="1">
        <v>110.51520371437</v>
      </c>
      <c r="E15" s="1"/>
      <c r="F15" s="1">
        <v>5.0327777862548802E-3</v>
      </c>
      <c r="G15" s="1">
        <v>0.25606458300012402</v>
      </c>
      <c r="H15" s="1">
        <v>4.0097473440000604</v>
      </c>
      <c r="I15" s="1">
        <v>16.021237521999801</v>
      </c>
      <c r="J15">
        <v>40</v>
      </c>
    </row>
    <row r="16" spans="1:10" x14ac:dyDescent="0.35">
      <c r="A16">
        <v>15</v>
      </c>
      <c r="B16" s="1">
        <v>19938.966321229898</v>
      </c>
      <c r="C16" s="1">
        <v>68.489382982254</v>
      </c>
      <c r="D16" s="1">
        <v>240.73659229278499</v>
      </c>
      <c r="E16" s="1"/>
      <c r="F16" s="1">
        <v>4.9045085906982396E-3</v>
      </c>
      <c r="G16" s="1">
        <v>0.356578517999878</v>
      </c>
      <c r="H16" s="1">
        <v>3.8634364260001299</v>
      </c>
      <c r="I16" s="1">
        <v>5.1966463299995604</v>
      </c>
      <c r="J16">
        <v>40</v>
      </c>
    </row>
    <row r="17" spans="1:10" x14ac:dyDescent="0.35">
      <c r="A17">
        <v>16</v>
      </c>
      <c r="B17" s="1">
        <v>430.32573366165099</v>
      </c>
      <c r="C17" s="1">
        <v>58.673640489578197</v>
      </c>
      <c r="D17" s="1">
        <v>262.88486266136101</v>
      </c>
      <c r="E17" s="1"/>
      <c r="F17" s="1">
        <v>4.8835277557373004E-3</v>
      </c>
      <c r="G17" s="1">
        <v>0.61351310500003797</v>
      </c>
      <c r="H17" s="1">
        <v>3.9977400210000198</v>
      </c>
      <c r="I17" s="1">
        <v>5.4381008430000204</v>
      </c>
      <c r="J17">
        <v>40</v>
      </c>
    </row>
    <row r="18" spans="1:10" x14ac:dyDescent="0.35">
      <c r="A18">
        <v>17</v>
      </c>
      <c r="B18" s="1">
        <v>3930.6082119941698</v>
      </c>
      <c r="C18" s="1">
        <v>58.510285615920999</v>
      </c>
      <c r="D18" s="1">
        <v>241.108869075775</v>
      </c>
      <c r="E18" s="1"/>
      <c r="F18" s="1">
        <v>4.7316551208495998E-3</v>
      </c>
      <c r="G18" s="1">
        <v>0.467438242000071</v>
      </c>
      <c r="H18" s="1">
        <v>3.0997106739998799</v>
      </c>
      <c r="I18" s="1">
        <v>3.9884953780001502</v>
      </c>
      <c r="J18">
        <v>40</v>
      </c>
    </row>
    <row r="19" spans="1:10" x14ac:dyDescent="0.35">
      <c r="A19">
        <v>18</v>
      </c>
      <c r="B19" s="1">
        <v>3804.9753289222699</v>
      </c>
      <c r="C19" s="1">
        <v>57.792312145233097</v>
      </c>
      <c r="D19" s="1">
        <v>132.336965322494</v>
      </c>
      <c r="E19" s="1"/>
      <c r="F19" s="1">
        <v>5.3415298461914002E-3</v>
      </c>
      <c r="G19" s="1">
        <v>0.426446207000026</v>
      </c>
      <c r="H19" s="1">
        <v>3.3338710369998799</v>
      </c>
      <c r="I19" s="1">
        <v>6.8793249709997299</v>
      </c>
      <c r="J19">
        <v>40</v>
      </c>
    </row>
    <row r="20" spans="1:10" x14ac:dyDescent="0.35">
      <c r="A20">
        <v>19</v>
      </c>
      <c r="B20" s="1">
        <v>4533.96942925453</v>
      </c>
      <c r="C20" s="1">
        <v>43.429264545440603</v>
      </c>
      <c r="D20" s="1">
        <v>184.54431152343699</v>
      </c>
      <c r="E20" s="1"/>
      <c r="F20" s="1">
        <v>4.7674179077148403E-3</v>
      </c>
      <c r="G20" s="1">
        <v>0.31949646999987602</v>
      </c>
      <c r="H20" s="1">
        <v>3.6266725899999899</v>
      </c>
      <c r="I20" s="1">
        <v>3.6670311400002902</v>
      </c>
      <c r="J20">
        <v>40</v>
      </c>
    </row>
    <row r="21" spans="1:10" x14ac:dyDescent="0.35">
      <c r="A21">
        <v>20</v>
      </c>
      <c r="B21" s="1">
        <v>86402.942539453506</v>
      </c>
      <c r="C21" s="1">
        <v>75.783718585968003</v>
      </c>
      <c r="D21" s="1">
        <v>272.98981332778902</v>
      </c>
      <c r="E21" s="1"/>
      <c r="F21" s="1">
        <v>4.8246383666992101E-3</v>
      </c>
      <c r="G21" s="1">
        <v>1.0512129579999501</v>
      </c>
      <c r="H21" s="1">
        <v>6.3375545989999802</v>
      </c>
      <c r="I21" s="1">
        <v>17.771454538999901</v>
      </c>
      <c r="J21">
        <v>40</v>
      </c>
    </row>
    <row r="22" spans="1:10" x14ac:dyDescent="0.35">
      <c r="A22">
        <v>21</v>
      </c>
      <c r="B22" s="1"/>
      <c r="C22" s="1">
        <v>148.485704660415</v>
      </c>
      <c r="D22" s="1">
        <v>742.771787166595</v>
      </c>
      <c r="E22" s="1"/>
      <c r="F22" s="1">
        <v>5.3641796112060504E-3</v>
      </c>
      <c r="G22" s="1">
        <v>0.70838133100005496</v>
      </c>
      <c r="H22" s="1">
        <v>10.779287027999899</v>
      </c>
      <c r="I22" s="1">
        <v>52.139466746999403</v>
      </c>
      <c r="J22">
        <v>50</v>
      </c>
    </row>
    <row r="23" spans="1:10" x14ac:dyDescent="0.35">
      <c r="A23">
        <v>22</v>
      </c>
      <c r="B23" s="1"/>
      <c r="C23" s="1">
        <v>68.101652383804307</v>
      </c>
      <c r="D23" s="1">
        <v>188.78203177451999</v>
      </c>
      <c r="E23" s="1"/>
      <c r="F23" s="1">
        <v>5.5255889892578099E-3</v>
      </c>
      <c r="G23" s="1">
        <v>2.0549782129999099</v>
      </c>
      <c r="H23" s="1">
        <v>18.903277872999901</v>
      </c>
      <c r="I23" s="1">
        <v>28.7506917909995</v>
      </c>
      <c r="J23">
        <v>50</v>
      </c>
    </row>
    <row r="24" spans="1:10" x14ac:dyDescent="0.35">
      <c r="A24">
        <v>23</v>
      </c>
      <c r="B24" s="1"/>
      <c r="C24" s="1">
        <v>163.80628585815401</v>
      </c>
      <c r="D24" s="1">
        <v>625.075266361236</v>
      </c>
      <c r="E24" s="1"/>
      <c r="F24" s="1">
        <v>5.6612491607665998E-3</v>
      </c>
      <c r="G24" s="1">
        <v>1.62990155800002</v>
      </c>
      <c r="H24" s="1">
        <v>14.8885775609999</v>
      </c>
      <c r="I24" s="1">
        <v>40.868352464999496</v>
      </c>
      <c r="J24">
        <v>50</v>
      </c>
    </row>
    <row r="25" spans="1:10" x14ac:dyDescent="0.35">
      <c r="A25">
        <v>24</v>
      </c>
      <c r="B25" s="1"/>
      <c r="C25" s="1">
        <v>132.75861263275101</v>
      </c>
      <c r="D25" s="1">
        <v>429.64812469482399</v>
      </c>
      <c r="E25" s="1"/>
      <c r="F25" s="1">
        <v>6.07061386108398E-3</v>
      </c>
      <c r="G25" s="1">
        <v>1.69500520700012</v>
      </c>
      <c r="H25" s="1">
        <v>12.061165394</v>
      </c>
      <c r="I25" s="1">
        <v>48.376064332999697</v>
      </c>
      <c r="J25">
        <v>50</v>
      </c>
    </row>
    <row r="26" spans="1:10" x14ac:dyDescent="0.35">
      <c r="A26">
        <v>25</v>
      </c>
      <c r="B26" s="1"/>
      <c r="C26" s="1">
        <v>671.99959683418194</v>
      </c>
      <c r="D26" s="1">
        <v>2373.39980578422</v>
      </c>
      <c r="E26" s="1"/>
      <c r="F26" s="1">
        <v>5.7797431945800703E-3</v>
      </c>
      <c r="G26" s="1">
        <v>0.743245671000067</v>
      </c>
      <c r="H26" s="1">
        <v>7.88971365899988</v>
      </c>
      <c r="I26" s="1">
        <v>24.074460897999401</v>
      </c>
      <c r="J26">
        <v>50</v>
      </c>
    </row>
    <row r="27" spans="1:10" x14ac:dyDescent="0.35">
      <c r="A27">
        <v>26</v>
      </c>
      <c r="B27" s="1"/>
      <c r="C27" s="1">
        <v>130.107779741287</v>
      </c>
      <c r="D27" s="1">
        <v>602.71774530410698</v>
      </c>
      <c r="E27" s="1"/>
      <c r="F27" s="1">
        <v>5.63573837280273E-3</v>
      </c>
      <c r="G27" s="1">
        <v>1.50162551900007</v>
      </c>
      <c r="H27" s="1">
        <v>22.798347784999802</v>
      </c>
      <c r="I27" s="1">
        <v>54.287920102000498</v>
      </c>
      <c r="J27">
        <v>50</v>
      </c>
    </row>
    <row r="28" spans="1:10" x14ac:dyDescent="0.35">
      <c r="A28">
        <v>27</v>
      </c>
      <c r="B28" s="1"/>
      <c r="C28" s="1">
        <v>163.08274078369101</v>
      </c>
      <c r="D28" s="1">
        <v>833.21767520904496</v>
      </c>
      <c r="E28" s="1"/>
      <c r="F28" s="1">
        <v>5.7203769683837804E-3</v>
      </c>
      <c r="G28" s="1">
        <v>0.66271328199991297</v>
      </c>
      <c r="H28" s="1">
        <v>6.7705857150001503</v>
      </c>
      <c r="I28" s="1">
        <v>7.8249888649997903</v>
      </c>
      <c r="J28">
        <v>50</v>
      </c>
    </row>
    <row r="29" spans="1:10" x14ac:dyDescent="0.35">
      <c r="A29">
        <v>28</v>
      </c>
      <c r="B29" s="1"/>
      <c r="C29" s="1">
        <v>133.62734746932901</v>
      </c>
      <c r="D29" s="1">
        <v>517.27748632430996</v>
      </c>
      <c r="E29" s="1"/>
      <c r="F29" s="1">
        <v>5.7938098907470703E-3</v>
      </c>
      <c r="G29" s="1">
        <v>1.0895801690000999</v>
      </c>
      <c r="H29" s="1">
        <v>9.86001712100005</v>
      </c>
      <c r="I29" s="1">
        <v>11.4677312450003</v>
      </c>
      <c r="J29">
        <v>50</v>
      </c>
    </row>
    <row r="30" spans="1:10" x14ac:dyDescent="0.35">
      <c r="A30">
        <v>29</v>
      </c>
      <c r="B30" s="1">
        <v>86400.255258798599</v>
      </c>
      <c r="C30" s="1">
        <v>116.93431019783</v>
      </c>
      <c r="D30" s="1">
        <v>448.17441725730799</v>
      </c>
      <c r="E30" s="1"/>
      <c r="F30" s="1">
        <v>5.5742263793945304E-3</v>
      </c>
      <c r="G30" s="1">
        <v>1.41241701600006</v>
      </c>
      <c r="H30" s="1">
        <v>18.706616774999901</v>
      </c>
      <c r="I30" s="1">
        <v>44.995576672999903</v>
      </c>
      <c r="J30">
        <v>50</v>
      </c>
    </row>
    <row r="31" spans="1:10" x14ac:dyDescent="0.35">
      <c r="A31">
        <v>30</v>
      </c>
      <c r="B31" s="1">
        <v>86400.260275602297</v>
      </c>
      <c r="C31" s="1">
        <v>155.38067221641501</v>
      </c>
      <c r="D31" s="1">
        <v>761.49398493766705</v>
      </c>
      <c r="E31" s="1"/>
      <c r="F31" s="1">
        <v>6.0241222381591797E-3</v>
      </c>
      <c r="G31" s="1">
        <v>0.86279424200006305</v>
      </c>
      <c r="H31" s="1">
        <v>8.0576836560000995</v>
      </c>
      <c r="I31" s="1">
        <v>15.437240094000099</v>
      </c>
      <c r="J31">
        <v>50</v>
      </c>
    </row>
    <row r="32" spans="1:10" x14ac:dyDescent="0.35">
      <c r="A32">
        <v>31</v>
      </c>
      <c r="B32" s="1"/>
      <c r="C32" s="1">
        <v>636.51029920578003</v>
      </c>
      <c r="D32" s="1">
        <v>829.766471147537</v>
      </c>
      <c r="E32" s="1"/>
      <c r="F32" s="1">
        <v>7.2510242462158203E-3</v>
      </c>
      <c r="G32" s="1">
        <v>4.7545490370000598</v>
      </c>
      <c r="H32" s="1">
        <v>58.799351029</v>
      </c>
      <c r="I32" s="1">
        <v>79.297554165999799</v>
      </c>
      <c r="J32">
        <v>75</v>
      </c>
    </row>
    <row r="33" spans="1:10" x14ac:dyDescent="0.35">
      <c r="A33">
        <v>32</v>
      </c>
      <c r="B33" s="1"/>
      <c r="C33" s="1">
        <v>801.98344182968106</v>
      </c>
      <c r="D33" s="1">
        <v>990.50533342361405</v>
      </c>
      <c r="E33" s="1"/>
      <c r="F33" s="1">
        <v>7.1249008178710903E-3</v>
      </c>
      <c r="G33" s="1">
        <v>2.7697425469998498</v>
      </c>
      <c r="H33" s="1">
        <v>81.517055514999996</v>
      </c>
      <c r="I33" s="1">
        <v>288.05232249800002</v>
      </c>
      <c r="J33">
        <v>75</v>
      </c>
    </row>
    <row r="34" spans="1:10" x14ac:dyDescent="0.35">
      <c r="A34">
        <v>33</v>
      </c>
      <c r="B34" s="1"/>
      <c r="C34" s="1">
        <v>862.76423358917202</v>
      </c>
      <c r="D34" s="1">
        <v>1056.46148824691</v>
      </c>
      <c r="E34" s="1"/>
      <c r="F34" s="1">
        <v>7.4980258941650304E-3</v>
      </c>
      <c r="G34" s="1">
        <v>4.4461507710000197</v>
      </c>
      <c r="H34" s="1">
        <v>110.248509353999</v>
      </c>
      <c r="I34" s="1">
        <v>614.91762200799894</v>
      </c>
      <c r="J34">
        <v>75</v>
      </c>
    </row>
    <row r="35" spans="1:10" x14ac:dyDescent="0.35">
      <c r="A35">
        <v>34</v>
      </c>
      <c r="B35" s="1"/>
      <c r="C35" s="1">
        <v>797.57793855667103</v>
      </c>
      <c r="D35" s="1">
        <v>997.39090871810902</v>
      </c>
      <c r="E35" s="1"/>
      <c r="F35" s="1">
        <v>7.43985176086425E-3</v>
      </c>
      <c r="G35" s="1">
        <v>2.3383675780000801</v>
      </c>
      <c r="H35" s="1">
        <v>61.721119602999998</v>
      </c>
      <c r="I35" s="1">
        <v>218.680504576999</v>
      </c>
      <c r="J35">
        <v>75</v>
      </c>
    </row>
    <row r="36" spans="1:10" x14ac:dyDescent="0.35">
      <c r="A36">
        <v>35</v>
      </c>
      <c r="B36" s="1"/>
      <c r="C36" s="1">
        <v>737.52451467514004</v>
      </c>
      <c r="D36" s="1">
        <v>947.693143606185</v>
      </c>
      <c r="E36" s="1"/>
      <c r="F36" s="1">
        <v>7.4191093444824201E-3</v>
      </c>
      <c r="G36" s="1">
        <v>3.9111922699999</v>
      </c>
      <c r="H36" s="1">
        <v>84.957753311999994</v>
      </c>
      <c r="I36" s="1">
        <v>192.85136975399899</v>
      </c>
      <c r="J36">
        <v>75</v>
      </c>
    </row>
    <row r="37" spans="1:10" x14ac:dyDescent="0.35">
      <c r="A37">
        <v>36</v>
      </c>
      <c r="B37" s="1"/>
      <c r="C37" s="1">
        <v>12748.104264736099</v>
      </c>
      <c r="D37" s="1">
        <v>1018.60106301307</v>
      </c>
      <c r="E37" s="1"/>
      <c r="F37" s="1">
        <v>7.6315402984619097E-3</v>
      </c>
      <c r="G37" s="1">
        <v>1.74447362800015</v>
      </c>
      <c r="H37" s="1">
        <v>12.165388053999701</v>
      </c>
      <c r="I37" s="1">
        <v>17.534093567999602</v>
      </c>
      <c r="J37">
        <v>75</v>
      </c>
    </row>
    <row r="38" spans="1:10" x14ac:dyDescent="0.35">
      <c r="A38">
        <v>37</v>
      </c>
      <c r="B38" s="1"/>
      <c r="C38" s="1">
        <v>859.79220128059296</v>
      </c>
      <c r="D38" s="1">
        <v>1054.3817796707101</v>
      </c>
      <c r="E38" s="1"/>
      <c r="F38" s="1">
        <v>6.9537162780761701E-3</v>
      </c>
      <c r="G38" s="1">
        <v>10.3301430589999</v>
      </c>
      <c r="H38" s="1">
        <v>103.112555052</v>
      </c>
      <c r="I38" s="1">
        <v>258.266375434</v>
      </c>
      <c r="J38">
        <v>75</v>
      </c>
    </row>
    <row r="39" spans="1:10" x14ac:dyDescent="0.35">
      <c r="A39">
        <v>38</v>
      </c>
      <c r="B39" s="1"/>
      <c r="C39" s="1">
        <v>966.47409462928704</v>
      </c>
      <c r="D39" s="1">
        <v>1181.8140380382499</v>
      </c>
      <c r="E39" s="1"/>
      <c r="F39" s="1">
        <v>6.7458152770995998E-3</v>
      </c>
      <c r="G39" s="1">
        <v>13.409630242</v>
      </c>
      <c r="H39" s="1">
        <v>134.36285514799999</v>
      </c>
      <c r="I39" s="1">
        <v>517.463529265999</v>
      </c>
      <c r="J39">
        <v>75</v>
      </c>
    </row>
    <row r="40" spans="1:10" x14ac:dyDescent="0.35">
      <c r="A40">
        <v>39</v>
      </c>
      <c r="B40" s="1"/>
      <c r="C40" s="1">
        <v>499.41710233688298</v>
      </c>
      <c r="D40" s="1">
        <v>660.48236823081902</v>
      </c>
      <c r="E40" s="1"/>
      <c r="F40" s="1">
        <v>7.1530342102050703E-3</v>
      </c>
      <c r="G40" s="1">
        <v>2.7420788290000901</v>
      </c>
      <c r="H40" s="1">
        <v>27.877430635000099</v>
      </c>
      <c r="I40" s="1">
        <v>54.713470681000203</v>
      </c>
      <c r="J40">
        <v>75</v>
      </c>
    </row>
    <row r="41" spans="1:10" x14ac:dyDescent="0.35">
      <c r="A41">
        <v>40</v>
      </c>
      <c r="B41" s="1"/>
      <c r="C41" s="1">
        <v>1306.3808846473601</v>
      </c>
      <c r="D41" s="1">
        <v>895.20780110359101</v>
      </c>
      <c r="E41" s="1"/>
      <c r="F41" s="1">
        <v>7.6365470886230399E-3</v>
      </c>
      <c r="G41" s="1">
        <v>3.58365346499999</v>
      </c>
      <c r="H41" s="1">
        <v>20.987071854</v>
      </c>
      <c r="I41" s="1">
        <v>52.950518464000197</v>
      </c>
      <c r="J41">
        <v>75</v>
      </c>
    </row>
    <row r="42" spans="1:10" x14ac:dyDescent="0.35">
      <c r="A42">
        <v>41</v>
      </c>
      <c r="B42" s="1"/>
      <c r="C42" s="1">
        <v>3565.7875645160598</v>
      </c>
      <c r="D42" s="1">
        <v>4040.33326697349</v>
      </c>
      <c r="E42" s="1"/>
      <c r="F42" s="1">
        <v>9.1185569763183594E-3</v>
      </c>
      <c r="G42" s="1">
        <v>25.9494041049999</v>
      </c>
      <c r="H42" s="1">
        <v>462.62293704400003</v>
      </c>
      <c r="I42" s="1">
        <v>2203.6678596809902</v>
      </c>
      <c r="J42">
        <v>100</v>
      </c>
    </row>
    <row r="43" spans="1:10" x14ac:dyDescent="0.35">
      <c r="A43">
        <v>42</v>
      </c>
      <c r="B43" s="1"/>
      <c r="C43" s="1">
        <v>2059.7729022502899</v>
      </c>
      <c r="D43" s="1">
        <v>3022.9244031906101</v>
      </c>
      <c r="E43" s="1"/>
      <c r="F43" s="1">
        <v>8.72802734375E-3</v>
      </c>
      <c r="G43" s="1">
        <v>10.904785059999901</v>
      </c>
      <c r="H43" s="1">
        <v>223.058280676999</v>
      </c>
      <c r="I43" s="1">
        <v>961.16305170199996</v>
      </c>
      <c r="J43">
        <v>100</v>
      </c>
    </row>
    <row r="44" spans="1:10" x14ac:dyDescent="0.35">
      <c r="A44">
        <v>43</v>
      </c>
      <c r="B44" s="1"/>
      <c r="C44" s="1">
        <v>2591.8490533828699</v>
      </c>
      <c r="D44" s="1">
        <v>3170.6341514587398</v>
      </c>
      <c r="E44" s="1"/>
      <c r="F44" s="1">
        <v>8.9905261993408203E-3</v>
      </c>
      <c r="G44" s="1">
        <v>13.080874477999901</v>
      </c>
      <c r="H44" s="1">
        <v>397.41677011299998</v>
      </c>
      <c r="I44" s="1">
        <v>873.47319846000005</v>
      </c>
      <c r="J44">
        <v>100</v>
      </c>
    </row>
    <row r="45" spans="1:10" x14ac:dyDescent="0.35">
      <c r="A45">
        <v>44</v>
      </c>
      <c r="B45" s="1"/>
      <c r="C45" s="1">
        <v>3300.5156140327399</v>
      </c>
      <c r="D45" s="1">
        <v>3691.8290073871599</v>
      </c>
      <c r="E45" s="1"/>
      <c r="F45" s="1">
        <v>8.6023807525634696E-3</v>
      </c>
      <c r="G45" s="1">
        <v>9.2506277180000307</v>
      </c>
      <c r="H45" s="1">
        <v>308.48389855200003</v>
      </c>
      <c r="I45" s="1">
        <v>2142.9763260339901</v>
      </c>
      <c r="J45">
        <v>100</v>
      </c>
    </row>
    <row r="46" spans="1:10" x14ac:dyDescent="0.35">
      <c r="A46">
        <v>45</v>
      </c>
      <c r="B46" s="1"/>
      <c r="C46" s="1">
        <v>2714.5142743587398</v>
      </c>
      <c r="D46" s="1">
        <v>3101.1883974075299</v>
      </c>
      <c r="E46" s="1"/>
      <c r="F46" s="1">
        <v>8.9101791381835903E-3</v>
      </c>
      <c r="G46" s="1">
        <v>13.16428412</v>
      </c>
      <c r="H46" s="1">
        <v>266.65689776699901</v>
      </c>
      <c r="I46" s="1">
        <v>729.96692357899803</v>
      </c>
      <c r="J46">
        <v>100</v>
      </c>
    </row>
    <row r="47" spans="1:10" x14ac:dyDescent="0.35">
      <c r="A47">
        <v>46</v>
      </c>
      <c r="B47" s="1"/>
      <c r="C47" s="1">
        <v>3459.2452313899898</v>
      </c>
      <c r="D47" s="1">
        <v>3352.1920790672302</v>
      </c>
      <c r="E47" s="1"/>
      <c r="F47" s="1">
        <v>8.9771747589111293E-3</v>
      </c>
      <c r="G47" s="1">
        <v>8.5667061740000392</v>
      </c>
      <c r="H47" s="1">
        <v>114.914378428999</v>
      </c>
      <c r="I47" s="1">
        <v>320.48563197000101</v>
      </c>
      <c r="J47">
        <v>100</v>
      </c>
    </row>
    <row r="48" spans="1:10" x14ac:dyDescent="0.35">
      <c r="A48">
        <v>47</v>
      </c>
      <c r="B48" s="1"/>
      <c r="C48" s="1">
        <v>2488.1506261825498</v>
      </c>
      <c r="D48" s="1">
        <v>3088.3284564018199</v>
      </c>
      <c r="E48" s="1"/>
      <c r="F48" s="1">
        <v>9.4974040985107405E-3</v>
      </c>
      <c r="G48" s="1">
        <v>5.7266443180001199</v>
      </c>
      <c r="H48" s="1">
        <v>179.50770567499899</v>
      </c>
      <c r="I48" s="1">
        <v>388.725798064</v>
      </c>
      <c r="J48">
        <v>100</v>
      </c>
    </row>
    <row r="49" spans="1:10" x14ac:dyDescent="0.35">
      <c r="A49">
        <v>48</v>
      </c>
      <c r="B49" s="1"/>
      <c r="C49" s="1">
        <v>6326.9702832698804</v>
      </c>
      <c r="D49" s="1">
        <v>3379.9579806327802</v>
      </c>
      <c r="E49" s="1"/>
      <c r="F49" s="1">
        <v>9.0699195861816406E-3</v>
      </c>
      <c r="G49" s="1">
        <v>5.72274355700005</v>
      </c>
      <c r="H49" s="1">
        <v>8.3505953789999694</v>
      </c>
      <c r="I49" s="1">
        <v>8.93906583900025</v>
      </c>
      <c r="J49">
        <v>100</v>
      </c>
    </row>
    <row r="50" spans="1:10" x14ac:dyDescent="0.35">
      <c r="A50">
        <v>49</v>
      </c>
      <c r="B50" s="1"/>
      <c r="C50" s="1">
        <v>2521.6155614852901</v>
      </c>
      <c r="D50" s="1">
        <v>3149.4037983417502</v>
      </c>
      <c r="E50" s="1"/>
      <c r="F50" s="1">
        <v>8.8615417480468698E-3</v>
      </c>
      <c r="G50" s="1">
        <v>15.453442161000099</v>
      </c>
      <c r="H50" s="1">
        <v>164.68348713999899</v>
      </c>
      <c r="I50" s="1">
        <v>861.06171532099802</v>
      </c>
      <c r="J50">
        <v>100</v>
      </c>
    </row>
    <row r="51" spans="1:10" x14ac:dyDescent="0.35">
      <c r="A51">
        <v>50</v>
      </c>
      <c r="B51" s="1"/>
      <c r="C51" s="1">
        <v>2685.71052122116</v>
      </c>
      <c r="D51" s="1">
        <v>3183.6753487586898</v>
      </c>
      <c r="E51" s="1"/>
      <c r="F51" s="1">
        <v>8.8996887207031198E-3</v>
      </c>
      <c r="G51" s="1">
        <v>5.9761223230000198</v>
      </c>
      <c r="H51" s="1">
        <v>230.702958031999</v>
      </c>
      <c r="I51" s="1">
        <v>900.18653968899798</v>
      </c>
      <c r="J51">
        <v>100</v>
      </c>
    </row>
    <row r="52" spans="1:10" x14ac:dyDescent="0.35">
      <c r="A52">
        <v>51</v>
      </c>
      <c r="B52" s="1">
        <v>6.68661594390869E-2</v>
      </c>
      <c r="C52" s="1">
        <v>9.0063676834106392</v>
      </c>
      <c r="D52" s="1">
        <v>15.144894361495901</v>
      </c>
      <c r="E52" s="1">
        <v>26759.819811105699</v>
      </c>
      <c r="F52" s="1">
        <v>4.2831897735595703E-3</v>
      </c>
      <c r="G52" s="1">
        <v>3.5263192000002101E-2</v>
      </c>
      <c r="H52" s="1">
        <v>5.8883222000076701E-2</v>
      </c>
      <c r="I52" s="1">
        <v>6.8979874999058596E-2</v>
      </c>
      <c r="J52">
        <v>20</v>
      </c>
    </row>
    <row r="53" spans="1:10" x14ac:dyDescent="0.35">
      <c r="A53">
        <v>52</v>
      </c>
      <c r="B53" s="1">
        <v>5.84690570831298E-2</v>
      </c>
      <c r="C53" s="1">
        <v>5.6918811798095703</v>
      </c>
      <c r="D53" s="1">
        <v>23.852615594863799</v>
      </c>
      <c r="E53" s="1">
        <v>86400.179282665194</v>
      </c>
      <c r="F53" s="1">
        <v>3.7240982055664002E-3</v>
      </c>
      <c r="G53" s="1">
        <v>5.0196411999877399E-2</v>
      </c>
      <c r="H53" s="1">
        <v>0.17743157400036499</v>
      </c>
      <c r="I53" s="1">
        <v>0.30992430599872001</v>
      </c>
      <c r="J53">
        <v>20</v>
      </c>
    </row>
    <row r="54" spans="1:10" x14ac:dyDescent="0.35">
      <c r="A54">
        <v>53</v>
      </c>
      <c r="B54" s="1">
        <v>2.0714759826660101E-2</v>
      </c>
      <c r="C54" s="1">
        <v>3.1399140357971098</v>
      </c>
      <c r="D54" s="1">
        <v>7.6340012550354004</v>
      </c>
      <c r="E54" s="1">
        <v>94.903298854827796</v>
      </c>
      <c r="F54" s="1">
        <v>3.6454200744628902E-3</v>
      </c>
      <c r="G54" s="1">
        <v>3.6477944000125703E-2</v>
      </c>
      <c r="H54" s="1">
        <v>7.9899450999619107E-2</v>
      </c>
      <c r="I54" s="1">
        <v>8.3373138000751995E-2</v>
      </c>
      <c r="J54">
        <v>20</v>
      </c>
    </row>
    <row r="55" spans="1:10" x14ac:dyDescent="0.35">
      <c r="A55">
        <v>54</v>
      </c>
      <c r="B55" s="1">
        <v>3.0108928680419901E-2</v>
      </c>
      <c r="C55" s="1">
        <v>3.1323459148406898</v>
      </c>
      <c r="D55" s="1">
        <v>6.0626444816589302</v>
      </c>
      <c r="E55" s="1">
        <v>456.62761378288201</v>
      </c>
      <c r="F55" s="1">
        <v>3.5321712493896402E-3</v>
      </c>
      <c r="G55" s="1">
        <v>4.1831303999970197E-2</v>
      </c>
      <c r="H55" s="1">
        <v>0.138907277000726</v>
      </c>
      <c r="I55" s="1">
        <v>0.141709698997146</v>
      </c>
      <c r="J55">
        <v>20</v>
      </c>
    </row>
    <row r="56" spans="1:10" x14ac:dyDescent="0.35">
      <c r="A56">
        <v>55</v>
      </c>
      <c r="B56" s="1">
        <v>6.2480211257934501E-2</v>
      </c>
      <c r="C56" s="1">
        <v>2.9986371994018501</v>
      </c>
      <c r="D56" s="1">
        <v>6.3127932548522896</v>
      </c>
      <c r="E56" s="1">
        <v>1248.4967966079701</v>
      </c>
      <c r="F56" s="1">
        <v>3.5791397094726502E-3</v>
      </c>
      <c r="G56" s="1">
        <v>2.8706671000008999E-2</v>
      </c>
      <c r="H56" s="1">
        <v>9.7504029000447107E-2</v>
      </c>
      <c r="I56" s="1">
        <v>0.115620651999051</v>
      </c>
      <c r="J56">
        <v>20</v>
      </c>
    </row>
    <row r="57" spans="1:10" x14ac:dyDescent="0.35">
      <c r="A57">
        <v>56</v>
      </c>
      <c r="B57" s="1">
        <v>2.21915245056152E-2</v>
      </c>
      <c r="C57" s="1">
        <v>5.0207715034484801</v>
      </c>
      <c r="D57" s="1">
        <v>9.9536929130554199</v>
      </c>
      <c r="E57" s="1">
        <v>1258.4213848114</v>
      </c>
      <c r="F57" s="1">
        <v>3.4809112548828099E-3</v>
      </c>
      <c r="G57" s="1">
        <v>3.9425131999905702E-2</v>
      </c>
      <c r="H57" s="1">
        <v>0.109021006000148</v>
      </c>
      <c r="I57" s="1">
        <v>0.11564002800150699</v>
      </c>
      <c r="J57">
        <v>20</v>
      </c>
    </row>
    <row r="58" spans="1:10" x14ac:dyDescent="0.35">
      <c r="A58">
        <v>57</v>
      </c>
      <c r="B58" s="1">
        <v>0.146340131759643</v>
      </c>
      <c r="C58" s="1">
        <v>6.3730485439300502</v>
      </c>
      <c r="D58" s="1">
        <v>13.852207660675001</v>
      </c>
      <c r="E58" s="1">
        <v>86400.153110742496</v>
      </c>
      <c r="F58" s="1">
        <v>3.5440921783447201E-3</v>
      </c>
      <c r="G58" s="1">
        <v>3.7094343000035203E-2</v>
      </c>
      <c r="H58" s="1">
        <v>0.18259565900007099</v>
      </c>
      <c r="I58" s="1">
        <v>0.34710363799968003</v>
      </c>
      <c r="J58">
        <v>20</v>
      </c>
    </row>
    <row r="59" spans="1:10" x14ac:dyDescent="0.35">
      <c r="A59">
        <v>58</v>
      </c>
      <c r="B59" s="1">
        <v>3.1080007553100499E-2</v>
      </c>
      <c r="C59" s="1">
        <v>3.35055232048034</v>
      </c>
      <c r="D59" s="1">
        <v>9.3668909072875906</v>
      </c>
      <c r="E59" s="1">
        <v>86400.115000963197</v>
      </c>
      <c r="F59" s="1">
        <v>3.5631656646728498E-3</v>
      </c>
      <c r="G59" s="1">
        <v>4.39027760000954E-2</v>
      </c>
      <c r="H59" s="1">
        <v>0.11480939500052</v>
      </c>
      <c r="I59" s="1">
        <v>0.13160325300122999</v>
      </c>
      <c r="J59">
        <v>20</v>
      </c>
    </row>
    <row r="60" spans="1:10" s="3" customFormat="1" x14ac:dyDescent="0.35">
      <c r="A60" s="3">
        <v>59</v>
      </c>
      <c r="B60" s="4">
        <v>0.38172149658203097</v>
      </c>
      <c r="C60" s="4">
        <v>5.1801760196685702</v>
      </c>
      <c r="D60" s="4">
        <v>9.8184607028961093</v>
      </c>
      <c r="E60" s="4">
        <v>2838.11518716812</v>
      </c>
      <c r="F60" s="4">
        <v>3.4942626953125E-3</v>
      </c>
      <c r="G60" s="4">
        <v>4.0222470999879002E-2</v>
      </c>
      <c r="H60" s="4">
        <v>0.21851246499954799</v>
      </c>
      <c r="I60" s="4">
        <v>0.28306325700032098</v>
      </c>
      <c r="J60" s="3">
        <v>20</v>
      </c>
    </row>
    <row r="61" spans="1:10" x14ac:dyDescent="0.35">
      <c r="A61">
        <v>60</v>
      </c>
      <c r="B61" s="1">
        <v>4.34470176696777E-2</v>
      </c>
      <c r="C61" s="1">
        <v>4.0671200752258301</v>
      </c>
      <c r="D61" s="1">
        <v>12.3923120498657</v>
      </c>
      <c r="E61" s="1">
        <v>86400.285001039505</v>
      </c>
      <c r="F61" s="1">
        <v>3.8189888000488199E-3</v>
      </c>
      <c r="G61" s="1">
        <v>3.0591813999990301E-2</v>
      </c>
      <c r="H61" s="1">
        <v>0.113748240999484</v>
      </c>
      <c r="I61" s="1">
        <v>0.119071297998743</v>
      </c>
      <c r="J61">
        <v>20</v>
      </c>
    </row>
    <row r="62" spans="1:10" x14ac:dyDescent="0.35">
      <c r="B62" s="1"/>
      <c r="C62" s="1"/>
      <c r="D62" s="1"/>
      <c r="E62" s="1"/>
      <c r="F62" s="1"/>
      <c r="G62" s="1"/>
      <c r="H62" s="1"/>
      <c r="I62" s="1"/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AFFB7-4E96-4BA8-862D-462662B1463A}">
  <dimension ref="A1:J18"/>
  <sheetViews>
    <sheetView tabSelected="1" topLeftCell="A4" workbookViewId="0">
      <selection activeCell="A12" sqref="A12:I18"/>
    </sheetView>
  </sheetViews>
  <sheetFormatPr defaultRowHeight="14.5" x14ac:dyDescent="0.35"/>
  <cols>
    <col min="1" max="1" width="10.81640625" customWidth="1"/>
    <col min="2" max="2" width="19" customWidth="1"/>
    <col min="3" max="3" width="22.1796875" customWidth="1"/>
    <col min="4" max="4" width="12.54296875" bestFit="1" customWidth="1"/>
    <col min="5" max="6" width="31.54296875" bestFit="1" customWidth="1"/>
    <col min="7" max="8" width="11.54296875" bestFit="1" customWidth="1"/>
  </cols>
  <sheetData>
    <row r="1" spans="1:10" ht="43.5" x14ac:dyDescent="0.35">
      <c r="A1" t="s">
        <v>239</v>
      </c>
      <c r="B1" t="s">
        <v>231</v>
      </c>
      <c r="C1" s="5" t="s">
        <v>240</v>
      </c>
      <c r="D1" s="6" t="s">
        <v>238</v>
      </c>
      <c r="E1" s="5" t="s">
        <v>241</v>
      </c>
      <c r="F1" s="5" t="s">
        <v>242</v>
      </c>
      <c r="G1" s="5" t="s">
        <v>243</v>
      </c>
      <c r="H1" s="7" t="s">
        <v>244</v>
      </c>
      <c r="I1" s="7" t="s">
        <v>245</v>
      </c>
      <c r="J1" s="7" t="s">
        <v>246</v>
      </c>
    </row>
    <row r="2" spans="1:10" x14ac:dyDescent="0.35">
      <c r="A2">
        <v>20</v>
      </c>
      <c r="B2">
        <v>10</v>
      </c>
      <c r="C2">
        <f>AVERAGEIF(Table1[n_nodes],comparaciones!A2,Table1[optimal_iqcp])</f>
        <v>14.7</v>
      </c>
      <c r="D2">
        <f>AVERAGEIF(Table1[n_nodes],A2,Table1[optimal_greedy])</f>
        <v>13.8</v>
      </c>
      <c r="E2">
        <f>AVERAGEIF(Table2[n_nodes],comparaciones!A2,Table2[optimal_rollout k=1])</f>
        <v>14.6</v>
      </c>
      <c r="F2">
        <f>AVERAGEIF(Table2[n_nodes],comparaciones!A2,Table2[optimal_rollout k=2])</f>
        <v>14.6</v>
      </c>
      <c r="G2">
        <f>AVERAGEIF(Table2[n_nodes],comparaciones!A2,Table2[optimal_rollout k=3])</f>
        <v>14.6</v>
      </c>
      <c r="H2" s="2">
        <f>(C2-E2)/C2</f>
        <v>6.8027210884353505E-3</v>
      </c>
      <c r="I2" s="2">
        <f>(C2-F2)/C2</f>
        <v>6.8027210884353505E-3</v>
      </c>
      <c r="J2" s="2">
        <f>(C2-G2)/C2</f>
        <v>6.8027210884353505E-3</v>
      </c>
    </row>
    <row r="3" spans="1:10" x14ac:dyDescent="0.35">
      <c r="A3">
        <v>25</v>
      </c>
      <c r="B3">
        <v>10</v>
      </c>
      <c r="C3">
        <f>AVERAGEIF(Table1[n_nodes],comparaciones!A3,Table1[optimal_iqcp])</f>
        <v>19.100000000000001</v>
      </c>
      <c r="D3">
        <f>AVERAGEIF(Table1[n_nodes],A3,Table1[optimal_greedy])</f>
        <v>18.100000000000001</v>
      </c>
      <c r="E3">
        <f>AVERAGEIF(Table2[n_nodes],comparaciones!A3,Table2[optimal_rollout k=1])</f>
        <v>19</v>
      </c>
      <c r="F3">
        <f>AVERAGEIF(Table2[n_nodes],comparaciones!A3,Table2[optimal_rollout k=2])</f>
        <v>19</v>
      </c>
      <c r="G3">
        <f>AVERAGEIF(Table2[n_nodes],comparaciones!A3,Table2[optimal_rollout k=3])</f>
        <v>19</v>
      </c>
      <c r="H3" s="2">
        <f t="shared" ref="H3:H7" si="0">(C3-E3)/C3</f>
        <v>5.2356020942409117E-3</v>
      </c>
      <c r="I3" s="2">
        <f t="shared" ref="I3:I7" si="1">(C3-F3)/C3</f>
        <v>5.2356020942409117E-3</v>
      </c>
      <c r="J3" s="2">
        <f t="shared" ref="J3:J7" si="2">(C3-G3)/C3</f>
        <v>5.2356020942409117E-3</v>
      </c>
    </row>
    <row r="4" spans="1:10" x14ac:dyDescent="0.35">
      <c r="A4">
        <v>40</v>
      </c>
      <c r="B4">
        <v>10</v>
      </c>
      <c r="C4">
        <f>AVERAGEIF(Table1[n_nodes],comparaciones!A4,Table1[optimal_iqcp])</f>
        <v>36.299999999999997</v>
      </c>
      <c r="D4">
        <f>AVERAGEIF(Table1[n_nodes],A4,Table1[optimal_greedy])</f>
        <v>35.6</v>
      </c>
      <c r="E4">
        <f>AVERAGEIF(Table2[n_nodes],comparaciones!A4,Table2[optimal_rollout k=1])</f>
        <v>36.200000000000003</v>
      </c>
      <c r="F4">
        <f>AVERAGEIF(Table2[n_nodes],comparaciones!A4,Table2[optimal_rollout k=2])</f>
        <v>36.299999999999997</v>
      </c>
      <c r="G4">
        <f>AVERAGEIF(Table2[n_nodes],comparaciones!A4,Table2[optimal_rollout k=3])</f>
        <v>36.299999999999997</v>
      </c>
      <c r="H4" s="2">
        <f t="shared" si="0"/>
        <v>2.754820936638962E-3</v>
      </c>
      <c r="I4" s="2">
        <f t="shared" si="1"/>
        <v>0</v>
      </c>
      <c r="J4" s="2">
        <f t="shared" si="2"/>
        <v>0</v>
      </c>
    </row>
    <row r="5" spans="1:10" x14ac:dyDescent="0.35">
      <c r="A5">
        <v>50</v>
      </c>
      <c r="B5">
        <v>10</v>
      </c>
      <c r="C5">
        <f>AVERAGEIF(Table1[n_nodes],comparaciones!A5,Table1[optimal_iqcp])</f>
        <v>46.4</v>
      </c>
      <c r="D5">
        <f>AVERAGEIF(Table1[n_nodes],A5,Table1[optimal_greedy])</f>
        <v>45.6</v>
      </c>
      <c r="E5">
        <f>AVERAGEIF(Table2[n_nodes],comparaciones!A5,Table2[optimal_rollout k=1])</f>
        <v>46.1</v>
      </c>
      <c r="F5">
        <f>AVERAGEIF(Table2[n_nodes],comparaciones!A5,Table2[optimal_rollout k=2])</f>
        <v>46.3</v>
      </c>
      <c r="G5">
        <f>AVERAGEIF(Table2[n_nodes],comparaciones!A5,Table2[optimal_rollout k=3])</f>
        <v>46.3</v>
      </c>
      <c r="H5" s="2">
        <f t="shared" si="0"/>
        <v>6.4655172413792495E-3</v>
      </c>
      <c r="I5" s="2">
        <f t="shared" si="1"/>
        <v>2.1551724137931342E-3</v>
      </c>
      <c r="J5" s="2">
        <f t="shared" si="2"/>
        <v>2.1551724137931342E-3</v>
      </c>
    </row>
    <row r="6" spans="1:10" x14ac:dyDescent="0.35">
      <c r="A6">
        <v>75</v>
      </c>
      <c r="B6">
        <v>10</v>
      </c>
      <c r="C6">
        <f>AVERAGEIF(Table1[n_nodes],comparaciones!A6,Table1[optimal_iqcp])</f>
        <v>70.400000000000006</v>
      </c>
      <c r="D6">
        <f>AVERAGEIF(Table1[n_nodes],A6,Table1[optimal_greedy])</f>
        <v>68.400000000000006</v>
      </c>
      <c r="E6">
        <f>AVERAGEIF(Table2[n_nodes],comparaciones!A6,Table2[optimal_rollout k=1])</f>
        <v>70.2</v>
      </c>
      <c r="F6">
        <f>AVERAGEIF(Table2[n_nodes],comparaciones!A6,Table2[optimal_rollout k=2])</f>
        <v>70.2</v>
      </c>
      <c r="G6">
        <f>AVERAGEIF(Table2[n_nodes],comparaciones!A6,Table2[optimal_rollout k=3])</f>
        <v>70.3</v>
      </c>
      <c r="H6" s="2">
        <f t="shared" si="0"/>
        <v>2.8409090909091309E-3</v>
      </c>
      <c r="I6" s="2">
        <f t="shared" si="1"/>
        <v>2.8409090909091309E-3</v>
      </c>
      <c r="J6" s="2">
        <f t="shared" si="2"/>
        <v>1.4204545454546665E-3</v>
      </c>
    </row>
    <row r="7" spans="1:10" x14ac:dyDescent="0.35">
      <c r="A7">
        <v>100</v>
      </c>
      <c r="B7">
        <v>10</v>
      </c>
      <c r="C7">
        <f>AVERAGEIF(Table1[n_nodes],comparaciones!A7,Table1[optimal_iqcp])</f>
        <v>95.9</v>
      </c>
      <c r="D7">
        <f>AVERAGEIF(Table1[n_nodes],A7,Table1[optimal_greedy])</f>
        <v>94.6</v>
      </c>
      <c r="E7">
        <f>AVERAGEIF(Table2[n_nodes],comparaciones!A7,Table2[optimal_rollout k=1])</f>
        <v>95.8</v>
      </c>
      <c r="F7">
        <f>AVERAGEIF(Table2[n_nodes],comparaciones!A7,Table2[optimal_rollout k=2])</f>
        <v>95.8</v>
      </c>
      <c r="G7">
        <f>AVERAGEIF(Table2[n_nodes],comparaciones!A7,Table2[optimal_rollout k=3])</f>
        <v>95.8</v>
      </c>
      <c r="H7" s="2">
        <f t="shared" si="0"/>
        <v>1.0427528675704748E-3</v>
      </c>
      <c r="I7" s="2">
        <f t="shared" si="1"/>
        <v>1.0427528675704748E-3</v>
      </c>
      <c r="J7" s="2">
        <f t="shared" si="2"/>
        <v>1.0427528675704748E-3</v>
      </c>
    </row>
    <row r="12" spans="1:10" x14ac:dyDescent="0.35">
      <c r="A12" t="s">
        <v>239</v>
      </c>
      <c r="B12" s="5" t="s">
        <v>231</v>
      </c>
      <c r="C12" s="5" t="s">
        <v>232</v>
      </c>
      <c r="D12" s="5" t="s">
        <v>233</v>
      </c>
      <c r="E12" s="5" t="s">
        <v>234</v>
      </c>
      <c r="F12" s="6" t="s">
        <v>247</v>
      </c>
      <c r="G12" s="5" t="s">
        <v>235</v>
      </c>
      <c r="H12" s="5" t="s">
        <v>236</v>
      </c>
      <c r="I12" s="5" t="s">
        <v>237</v>
      </c>
    </row>
    <row r="13" spans="1:10" x14ac:dyDescent="0.35">
      <c r="A13">
        <v>20</v>
      </c>
      <c r="B13">
        <v>10</v>
      </c>
      <c r="C13" s="1">
        <f>AVERAGEIF(Table1[n_nodes],comparaciones!A13,Table1[duration_miqcp])</f>
        <v>37825.71164877413</v>
      </c>
      <c r="D13" s="1">
        <f>AVERAGEIF(Table1[n_nodes],comparaciones!A13,Table1[duration_iqcp])</f>
        <v>4.7960814476013125</v>
      </c>
      <c r="E13" s="1">
        <f>AVERAGEIF(Table1[n_nodes],comparaciones!A13,Table1[duration])</f>
        <v>11.439051318168612</v>
      </c>
      <c r="F13" s="1">
        <f>AVERAGEIF(Table1[n_nodes],comparaciones!A13,Table1[duration_greedy])</f>
        <v>3.6665439605712848E-3</v>
      </c>
      <c r="G13" s="1">
        <f>AVERAGEIF(Table3[n-nodos],comparaciones!A13,Table3[time_taken k=1 ])</f>
        <v>3.8371205899989005E-2</v>
      </c>
      <c r="H13" s="1">
        <f>AVERAGEIF(Table3[n-nodos],A13,Table3[time_taken k=2])</f>
        <v>0.12913123190010048</v>
      </c>
      <c r="I13" s="1">
        <f>AVERAGEIF(Table3[n-nodos],A13,Table3[time_taken k=3])</f>
        <v>0.17160891439962084</v>
      </c>
    </row>
    <row r="14" spans="1:10" x14ac:dyDescent="0.35">
      <c r="A14">
        <v>25</v>
      </c>
      <c r="B14">
        <v>10</v>
      </c>
      <c r="C14" s="1">
        <f>AVERAGEIF(Table1[n_nodes],comparaciones!A14,Table1[duration_miqcp])</f>
        <v>66611.988037872274</v>
      </c>
      <c r="D14" s="1">
        <f>AVERAGEIF(Table1[n_nodes],comparaciones!A14,Table1[duration_iqcp])</f>
        <v>12.175678658485392</v>
      </c>
      <c r="E14" s="1">
        <f>AVERAGEIF(Table1[n_nodes],comparaciones!A14,Table1[duration])</f>
        <v>32.275744056701612</v>
      </c>
      <c r="F14" s="1">
        <f>AVERAGEIF(Table1[n_nodes],comparaciones!A14,Table1[duration_greedy])</f>
        <v>5.3447961807250822E-3</v>
      </c>
      <c r="G14" s="1">
        <f>AVERAGEIF(Table3[n-nodos],comparaciones!A14,Table3[time_taken k=1 ])</f>
        <v>8.1509708900057223E-2</v>
      </c>
      <c r="H14" s="1">
        <f>AVERAGEIF(Table3[n-nodos],A14,Table3[time_taken k=2])</f>
        <v>0.31194432720001208</v>
      </c>
      <c r="I14" s="1">
        <f>AVERAGEIF(Table3[n-nodos],A14,Table3[time_taken k=3])</f>
        <v>0.45842930460003084</v>
      </c>
    </row>
    <row r="15" spans="1:10" x14ac:dyDescent="0.35">
      <c r="A15">
        <v>40</v>
      </c>
      <c r="B15">
        <v>10</v>
      </c>
      <c r="C15" s="1" t="s">
        <v>229</v>
      </c>
      <c r="D15" s="1">
        <f>AVERAGEIF(Table1[n_nodes],comparaciones!A15,Table1[duration_iqcp])</f>
        <v>64.14205644130702</v>
      </c>
      <c r="E15" s="1">
        <f>AVERAGEIF(Table1[n_nodes],comparaciones!A15,Table1[duration])</f>
        <v>210.23919503688762</v>
      </c>
      <c r="F15" s="1">
        <f>AVERAGEIF(Table1[n_nodes],comparaciones!A15,Table1[duration_greedy])</f>
        <v>4.9083471298217735E-3</v>
      </c>
      <c r="G15" s="1">
        <f>AVERAGEIF(Table3[n-nodos],comparaciones!A15,Table3[time_taken k=1 ])</f>
        <v>0.5144664371000085</v>
      </c>
      <c r="H15" s="1">
        <f>AVERAGEIF(Table3[n-nodos],A15,Table3[time_taken k=2])</f>
        <v>4.2346738084999922</v>
      </c>
      <c r="I15" s="1">
        <f>AVERAGEIF(Table3[n-nodos],A15,Table3[time_taken k=3])</f>
        <v>9.1542353413999766</v>
      </c>
    </row>
    <row r="16" spans="1:10" x14ac:dyDescent="0.35">
      <c r="A16">
        <v>50</v>
      </c>
      <c r="B16">
        <v>10</v>
      </c>
      <c r="C16" s="1" t="s">
        <v>229</v>
      </c>
      <c r="D16" s="1">
        <f>AVERAGEIF(Table1[n_nodes],comparaciones!A16,Table1[duration_iqcp])</f>
        <v>188.42847027778581</v>
      </c>
      <c r="E16" s="1">
        <f>AVERAGEIF(Table1[n_nodes],comparaciones!A16,Table1[duration])</f>
        <v>752.25583248138321</v>
      </c>
      <c r="F16" s="1">
        <f>AVERAGEIF(Table1[n_nodes],comparaciones!A16,Table1[duration_greedy])</f>
        <v>5.7149648666381808E-3</v>
      </c>
      <c r="G16" s="1">
        <f>AVERAGEIF(Table3[n-nodos],comparaciones!A16,Table3[time_taken k=1 ])</f>
        <v>1.2360642208000379</v>
      </c>
      <c r="H16" s="1">
        <f>AVERAGEIF(Table3[n-nodos],A16,Table3[time_taken k=2])</f>
        <v>13.071527256699961</v>
      </c>
      <c r="I16" s="1">
        <f>AVERAGEIF(Table3[n-nodos],A16,Table3[time_taken k=3])</f>
        <v>32.822249321299815</v>
      </c>
    </row>
    <row r="17" spans="1:9" x14ac:dyDescent="0.35">
      <c r="A17">
        <v>75</v>
      </c>
      <c r="B17">
        <v>10</v>
      </c>
      <c r="C17" s="1" t="s">
        <v>229</v>
      </c>
      <c r="D17" s="1">
        <f>AVERAGEIF(Table1[n_nodes],comparaciones!A17,Table1[duration_iqcp])</f>
        <v>2021.6528975486665</v>
      </c>
      <c r="E17" s="1">
        <f>AVERAGEIF(Table1[n_nodes],comparaciones!A17,Table1[duration])</f>
        <v>963.23043951987961</v>
      </c>
      <c r="F17" s="1">
        <f>AVERAGEIF(Table1[n_nodes],comparaciones!A17,Table1[duration_greedy])</f>
        <v>7.2853565216064401E-3</v>
      </c>
      <c r="G17" s="1">
        <f>AVERAGEIF(Table3[n-nodos],comparaciones!A17,Table3[time_taken k=1 ])</f>
        <v>5.0029981426000045</v>
      </c>
      <c r="H17" s="1">
        <f>AVERAGEIF(Table3[n-nodos],A17,Table3[time_taken k=2])</f>
        <v>69.574908955599881</v>
      </c>
      <c r="I17" s="1">
        <f>AVERAGEIF(Table3[n-nodos],A17,Table3[time_taken k=3])</f>
        <v>229.4727360415996</v>
      </c>
    </row>
    <row r="18" spans="1:9" x14ac:dyDescent="0.35">
      <c r="A18">
        <v>100</v>
      </c>
      <c r="B18">
        <v>10</v>
      </c>
      <c r="C18" s="1" t="s">
        <v>229</v>
      </c>
      <c r="D18" s="1">
        <f>AVERAGEIF(Table1[n_nodes],comparaciones!A18,Table1[duration_iqcp])</f>
        <v>3171.413163208957</v>
      </c>
      <c r="E18" s="1">
        <f>AVERAGEIF(Table1[n_nodes],comparaciones!A18,Table1[duration])</f>
        <v>3318.0466889619806</v>
      </c>
      <c r="F18" s="1">
        <f>AVERAGEIF(Table1[n_nodes],comparaciones!A18,Table1[duration_greedy])</f>
        <v>8.9655399322509759E-3</v>
      </c>
      <c r="G18" s="1">
        <f>AVERAGEIF(Table3[n-nodos],comparaciones!A18,Table3[time_taken k=1 ])</f>
        <v>11.379563401400006</v>
      </c>
      <c r="H18" s="1">
        <f>AVERAGEIF(Table3[n-nodos],A18,Table3[time_taken k=2])</f>
        <v>235.63979088079941</v>
      </c>
      <c r="I18" s="1">
        <f>AVERAGEIF(Table3[n-nodos],A18,Table3[time_taken k=3])</f>
        <v>939.06461103389779</v>
      </c>
    </row>
  </sheetData>
  <phoneticPr fontId="18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compare_results_1_nodes</vt:lpstr>
      <vt:lpstr>solution</vt:lpstr>
      <vt:lpstr>optimos</vt:lpstr>
      <vt:lpstr>duracion</vt:lpstr>
      <vt:lpstr>comparaciones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Getsemani Villegas</cp:lastModifiedBy>
  <dcterms:created xsi:type="dcterms:W3CDTF">2026-03-03T02:10:00Z</dcterms:created>
  <dcterms:modified xsi:type="dcterms:W3CDTF">2026-03-13T05:06:14Z</dcterms:modified>
</cp:coreProperties>
</file>