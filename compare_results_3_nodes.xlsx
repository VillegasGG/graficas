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experimentos\"/>
    </mc:Choice>
  </mc:AlternateContent>
  <xr:revisionPtr revIDLastSave="0" documentId="13_ncr:1_{F186CC1B-351A-4C14-A63A-5E67A5D72974}" xr6:coauthVersionLast="47" xr6:coauthVersionMax="47" xr10:uidLastSave="{00000000-0000-0000-0000-000000000000}"/>
  <bookViews>
    <workbookView xWindow="-120" yWindow="-120" windowWidth="29040" windowHeight="15720" activeTab="5" xr2:uid="{3AC32827-1B57-4153-83FB-7C0206CC7433}"/>
  </bookViews>
  <sheets>
    <sheet name="compare_results_3_nodes" sheetId="1" r:id="rId1"/>
    <sheet name="solutions" sheetId="2" r:id="rId2"/>
    <sheet name="optimos" sheetId="3" r:id="rId3"/>
    <sheet name="duracion" sheetId="4" r:id="rId4"/>
    <sheet name="compare_results_3_nodes (2)" sheetId="5" r:id="rId5"/>
    <sheet name="ga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</calcChain>
</file>

<file path=xl/sharedStrings.xml><?xml version="1.0" encoding="utf-8"?>
<sst xmlns="http://schemas.openxmlformats.org/spreadsheetml/2006/main" count="576" uniqueCount="218">
  <si>
    <t>experiment</t>
  </si>
  <si>
    <t>duration_dp</t>
  </si>
  <si>
    <t>solution_dp</t>
  </si>
  <si>
    <t>optimal_dp</t>
  </si>
  <si>
    <t>duration_iqcp</t>
  </si>
  <si>
    <t>solution_iqcp</t>
  </si>
  <si>
    <t>optimal_iqcp</t>
  </si>
  <si>
    <t>duration</t>
  </si>
  <si>
    <t>solution</t>
  </si>
  <si>
    <t>optimal</t>
  </si>
  <si>
    <t>duration_miqcp</t>
  </si>
  <si>
    <t>solution_miqcp</t>
  </si>
  <si>
    <t>optimal_miqcp</t>
  </si>
  <si>
    <t>duration_greedy</t>
  </si>
  <si>
    <t>solution_greedy</t>
  </si>
  <si>
    <t>optimal_greedy</t>
  </si>
  <si>
    <t>n_nodes</t>
  </si>
  <si>
    <t>solution_rollout</t>
  </si>
  <si>
    <t>final_damage</t>
  </si>
  <si>
    <t>time_taken</t>
  </si>
  <si>
    <t>optimal_rollout</t>
  </si>
  <si>
    <t>diff_iqcp_rollout</t>
  </si>
  <si>
    <t>diff_ilp_rollout</t>
  </si>
  <si>
    <t>diff_greedy_rollout</t>
  </si>
  <si>
    <t>[-1, 2, 3]</t>
  </si>
  <si>
    <t>[-1, 2, 23, 19, 21]</t>
  </si>
  <si>
    <t>[-1, 14, 3, 1, 15, 4, 18, 24, 16, 6]</t>
  </si>
  <si>
    <t>[23, 2, 21, 19]</t>
  </si>
  <si>
    <t>[-1, 18, 19, 21]</t>
  </si>
  <si>
    <t>[-1, 18, 21, 19]</t>
  </si>
  <si>
    <t>[-1, 1, 6]</t>
  </si>
  <si>
    <t>[18, 21, 19]</t>
  </si>
  <si>
    <t>[-1, 10]</t>
  </si>
  <si>
    <t>[10]</t>
  </si>
  <si>
    <t>[-1, 11, 5, 2, 4]</t>
  </si>
  <si>
    <t>[-1, 11, 5, 2, 4, 22, 9, 18, 12, 8, 21]</t>
  </si>
  <si>
    <t>[-1, 1, 21]</t>
  </si>
  <si>
    <t>[1, 16, 23]</t>
  </si>
  <si>
    <t>[-1, 8]</t>
  </si>
  <si>
    <t>[-1, 8, 24, 21, 20]</t>
  </si>
  <si>
    <t>[8]</t>
  </si>
  <si>
    <t>[-1, 0, 2, 17]</t>
  </si>
  <si>
    <t>[0, 2, 17]</t>
  </si>
  <si>
    <t>[-1, 1, 10, 4, 9, 8]</t>
  </si>
  <si>
    <t>[-1, 7, 10, 8, 9]</t>
  </si>
  <si>
    <t>[-1, 7, 10, 4, 8]</t>
  </si>
  <si>
    <t>[-1, 7, 24]</t>
  </si>
  <si>
    <t>[7, 10, 8, 9]</t>
  </si>
  <si>
    <t>[-1, 4, 9, 6, 11, 22]</t>
  </si>
  <si>
    <t>[-1, 4, 17, 13]</t>
  </si>
  <si>
    <t>[4, 17, 13]</t>
  </si>
  <si>
    <t>[-1, 6, 0, 1, 22, 10, 18, 8, 9]</t>
  </si>
  <si>
    <t>[-1, 6, 24, 15, 23]</t>
  </si>
  <si>
    <t>[-1, 6, 24, 23, 15]</t>
  </si>
  <si>
    <t>[6, 24, 15, 23]</t>
  </si>
  <si>
    <t>[-1, 15, 12, 11, 22]</t>
  </si>
  <si>
    <t>[-1, 15, 13, 5, 17]</t>
  </si>
  <si>
    <t>[-1, 13, 14, 3]</t>
  </si>
  <si>
    <t>[15, 12, 11, 22]</t>
  </si>
  <si>
    <t>[-1, 38, 26, 11, 15, 7, 8]</t>
  </si>
  <si>
    <t>[-1, 38, 26, 11, 15, 8, 7]</t>
  </si>
  <si>
    <t>[-1, 38, 32, 33, 8, 7]</t>
  </si>
  <si>
    <t>[-1, 26, 35, 4]</t>
  </si>
  <si>
    <t>[38, 32, 33, 8, 7]</t>
  </si>
  <si>
    <t>[-1, 34]</t>
  </si>
  <si>
    <t>[34]</t>
  </si>
  <si>
    <t>[-1, 24, 7]</t>
  </si>
  <si>
    <t>[31, 7, 36, 5, 22]</t>
  </si>
  <si>
    <t>[-1, 13, 6, 12]</t>
  </si>
  <si>
    <t>[-1, 13, 12, 6]</t>
  </si>
  <si>
    <t>[13, 6, 12]</t>
  </si>
  <si>
    <t>[-1, 28, 7, 13]</t>
  </si>
  <si>
    <t>[28, 13, 7]</t>
  </si>
  <si>
    <t>[-1, 3, 35, 28, 14]</t>
  </si>
  <si>
    <t>[-1, 28, 3, 35, 14]</t>
  </si>
  <si>
    <t>[-1, 28, 35, 3, 14]</t>
  </si>
  <si>
    <t>[-1, 28, 13]</t>
  </si>
  <si>
    <t>[3, 35, 28, 14]</t>
  </si>
  <si>
    <t>[-1, 1, 33, 35, 2]</t>
  </si>
  <si>
    <t>[-1, 1, 35, 33, 2]</t>
  </si>
  <si>
    <t>[-1, 33, 29]</t>
  </si>
  <si>
    <t>[1, 35, 33, 2]</t>
  </si>
  <si>
    <t>[-1, 12, 9, 4, 23, 33]</t>
  </si>
  <si>
    <t>[-1, 12, 9, 4, 33, 23]</t>
  </si>
  <si>
    <t>[12, 37, 16]</t>
  </si>
  <si>
    <t>[-1, 3, 33, 15, 32]</t>
  </si>
  <si>
    <t>[-1, 27, 3]</t>
  </si>
  <si>
    <t>[27, 33, 4]</t>
  </si>
  <si>
    <t>[-1, 2, 9]</t>
  </si>
  <si>
    <t>[9, 2]</t>
  </si>
  <si>
    <t>[-1, 2, 6, 36]</t>
  </si>
  <si>
    <t>[2, 6, 36]</t>
  </si>
  <si>
    <t>[-1, 20, 49, 8]</t>
  </si>
  <si>
    <t>[-1, 8, 20]</t>
  </si>
  <si>
    <t>[20, 49, 8]</t>
  </si>
  <si>
    <t>[-1, 22, 35, 34, 6]</t>
  </si>
  <si>
    <t>[-1, 22, 35, 44, 4]</t>
  </si>
  <si>
    <t>[-1, 22, 34, 6]</t>
  </si>
  <si>
    <t>[35, 34, 44, 20, 46]</t>
  </si>
  <si>
    <t>[-1, 5, 6, 25, 21, 37, 40]</t>
  </si>
  <si>
    <t>[-1, 5, 6, 25, 21, 40, 37]</t>
  </si>
  <si>
    <t>[-1, 5, 21, 25, 37, 40]</t>
  </si>
  <si>
    <t>[11, 6, 10, 14, 43]</t>
  </si>
  <si>
    <t>[-1, 16, 1, 8, 35]</t>
  </si>
  <si>
    <t>[-1, 1, 8, 4, 40, 38, 11]</t>
  </si>
  <si>
    <t>[-1, 8, 35]</t>
  </si>
  <si>
    <t>[16, 1, 8, 35]</t>
  </si>
  <si>
    <t>[-1, 12, 36, 26]</t>
  </si>
  <si>
    <t>[-1, 12, 26]</t>
  </si>
  <si>
    <t>[12, 36, 26]</t>
  </si>
  <si>
    <t>[-1, 19, 1]</t>
  </si>
  <si>
    <t>[19, 1]</t>
  </si>
  <si>
    <t>[-1, 1, 14, 11, 2]</t>
  </si>
  <si>
    <t>[-1, 1, 2, 14]</t>
  </si>
  <si>
    <t>[1, 11, 2, 35]</t>
  </si>
  <si>
    <t>[-1, 32, 6, 35]</t>
  </si>
  <si>
    <t>[-1, 32, 35, 6]</t>
  </si>
  <si>
    <t>[32, 35, 6]</t>
  </si>
  <si>
    <t>[-1, 8, 48, 38]</t>
  </si>
  <si>
    <t>[8, 48, 38]</t>
  </si>
  <si>
    <t>[-1, 73, 6]</t>
  </si>
  <si>
    <t>[73, 6]</t>
  </si>
  <si>
    <t>[-1, 5, 12]</t>
  </si>
  <si>
    <t>[5, 12]</t>
  </si>
  <si>
    <t>[-1, 68, 30, 53]</t>
  </si>
  <si>
    <t>[-1, 68, 53]</t>
  </si>
  <si>
    <t>[68, 30, 53]</t>
  </si>
  <si>
    <t>[-1, 56, 45, 73]</t>
  </si>
  <si>
    <t>[-1, 73, 56, 45]</t>
  </si>
  <si>
    <t>[73, 56, 45]</t>
  </si>
  <si>
    <t>[-1, 52, 12]</t>
  </si>
  <si>
    <t>[52, 12]</t>
  </si>
  <si>
    <t>[-1, 54, 40, 29, 21, 25, 27, 58]</t>
  </si>
  <si>
    <t>[-1, 29, 67, 70, 45]</t>
  </si>
  <si>
    <t>[54, 40, 29, 21, 25, 58, 27]</t>
  </si>
  <si>
    <t>[-1, 5, 63, 50, 29]</t>
  </si>
  <si>
    <t>[-1, 5, 29]</t>
  </si>
  <si>
    <t>[50, 63, 5, 29]</t>
  </si>
  <si>
    <t>[-1, 44, 2, 7]</t>
  </si>
  <si>
    <t>[-1, 2, 7]</t>
  </si>
  <si>
    <t>[50, 44, 53]</t>
  </si>
  <si>
    <t>[-1, 42, 38, 63, 31, 33]</t>
  </si>
  <si>
    <t>[-1, 42, 63, 33, 31, 46]</t>
  </si>
  <si>
    <t>[42, 63, 38, 31, 33]</t>
  </si>
  <si>
    <t>[-1, 69, 73, 3, 60, 14, 30]</t>
  </si>
  <si>
    <t>[-1, 73, 3, 6, 58, 72, 1]</t>
  </si>
  <si>
    <t>[69, 73, 8, 66, 54, 47, 1, 58, 72]</t>
  </si>
  <si>
    <t>[-1, 58, 29, 38]</t>
  </si>
  <si>
    <t>[-1, 38]</t>
  </si>
  <si>
    <t>[58, 29, 38]</t>
  </si>
  <si>
    <t>[-1, 46, 10]</t>
  </si>
  <si>
    <t>[42, 18, 62, 70]</t>
  </si>
  <si>
    <t>[-1, 12, 68, 98, 35]</t>
  </si>
  <si>
    <t>[-1, 68, 12, 98, 93]</t>
  </si>
  <si>
    <t>[12, 68, 98, 35]</t>
  </si>
  <si>
    <t>[-1, 3, 22, 16]</t>
  </si>
  <si>
    <t>[-1, 22, 16, 62]</t>
  </si>
  <si>
    <t>[3, 22, 16]</t>
  </si>
  <si>
    <t>[-1, 15, 94]</t>
  </si>
  <si>
    <t>[-1, 15, 35]</t>
  </si>
  <si>
    <t>[35, 94, 15]</t>
  </si>
  <si>
    <t>[-1, 53, 54, 49]</t>
  </si>
  <si>
    <t>[-1, 53, 49, 98, 86]</t>
  </si>
  <si>
    <t>[47, 24, 6, 62, 86, 98]</t>
  </si>
  <si>
    <t>[-1, 0, 54, 92, 16]</t>
  </si>
  <si>
    <t>[-1, 0, 16, 63, 7]</t>
  </si>
  <si>
    <t>[0, 54, 92, 16]</t>
  </si>
  <si>
    <t>[-1, 74, 62, 17, 43]</t>
  </si>
  <si>
    <t>[-1, 6, 41, 81]</t>
  </si>
  <si>
    <t>[74, 17, 62, 43]</t>
  </si>
  <si>
    <t>[-1, 99, 86, 47]</t>
  </si>
  <si>
    <t>[-1, 86, 47, 72]</t>
  </si>
  <si>
    <t>[99, 86, 47]</t>
  </si>
  <si>
    <t>[-1, 94, 7, 84, 98]</t>
  </si>
  <si>
    <t>[94, 7, 84, 98]</t>
  </si>
  <si>
    <t>[-1, 15, 0, 7, 13]</t>
  </si>
  <si>
    <t>[-1, 15, 0, 11, 12, 13]</t>
  </si>
  <si>
    <t>[-1, 15, 11, 0, 13, 12, 1, 6]</t>
  </si>
  <si>
    <t>[-1, 15, 7, 13]</t>
  </si>
  <si>
    <t>[15, 11, 0, 13, 12]</t>
  </si>
  <si>
    <t>[-1, 6, 3, 1, 8, 4, 2]</t>
  </si>
  <si>
    <t>[-1, 6, 3, 8, 1, 9]</t>
  </si>
  <si>
    <t>[-1, 6, 3, 19, 12, 17]</t>
  </si>
  <si>
    <t>[-1, 6, 19, 12, 17]</t>
  </si>
  <si>
    <t>[6, 3, 19, 12, 17]</t>
  </si>
  <si>
    <t>[-1, 10, 2, 1]</t>
  </si>
  <si>
    <t>[-1, 10, 2, 1, 19, 5, 0, 4, 6, 13, 12]</t>
  </si>
  <si>
    <t>[-1, 10, 1]</t>
  </si>
  <si>
    <t>[10, 2, 1]</t>
  </si>
  <si>
    <t>[-1, 15, 4]</t>
  </si>
  <si>
    <t>[-1, 15, 4, 16, 11, 0]</t>
  </si>
  <si>
    <t>[15, 4]</t>
  </si>
  <si>
    <t>[-1, 17]</t>
  </si>
  <si>
    <t>[-1, 17, 16, 3, 5, 0, 1, 8, 10, 11, 15]</t>
  </si>
  <si>
    <t>[17]</t>
  </si>
  <si>
    <t>[-1, 9, 13, 17, 3]</t>
  </si>
  <si>
    <t>[-1, 9, 13, 17, 3, 0, 5, 11, 4]</t>
  </si>
  <si>
    <t>[-1, 17, 3]</t>
  </si>
  <si>
    <t>[9, 13, 17, 3]</t>
  </si>
  <si>
    <t>[-1, 3, 0, 16, 17]</t>
  </si>
  <si>
    <t>[-1, 3, 14]</t>
  </si>
  <si>
    <t>[3, 14]</t>
  </si>
  <si>
    <t>[-1, 3, 6, 8, 5, 18]</t>
  </si>
  <si>
    <t>[-1, 3, 9, 12]</t>
  </si>
  <si>
    <t>[3, 8, 17]</t>
  </si>
  <si>
    <t>[-1, 13, 14, 4, 2, 9]</t>
  </si>
  <si>
    <t>[-1, 13, 14, 4, 2, 9, 3, 15, 0, 6, 16]</t>
  </si>
  <si>
    <t>[-1, 12]</t>
  </si>
  <si>
    <t>[12]</t>
  </si>
  <si>
    <t>[-1, 4, 1]</t>
  </si>
  <si>
    <t>[4, 1]</t>
  </si>
  <si>
    <t>gap</t>
  </si>
  <si>
    <t>20</t>
  </si>
  <si>
    <t>25</t>
  </si>
  <si>
    <t>40</t>
  </si>
  <si>
    <t>50</t>
  </si>
  <si>
    <t>75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</si>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</sst>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0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ECD65-70BA-4E46-852B-62E4C307CDCC}" name="Table1" displayName="Table1" ref="A1:X61" totalsRowShown="0">
  <autoFilter ref="A1:X61" xr:uid="{59CECD65-70BA-4E46-852B-62E4C307CDCC}"/>
  <tableColumns count="24">
    <tableColumn id="1" xr3:uid="{FA226B17-9481-47D1-BE26-D4EF6346BCC7}" name="experiment"/>
    <tableColumn id="2" xr3:uid="{4F948A91-2AAC-4C79-A491-72C3E6792A72}" name="duration_dp"/>
    <tableColumn id="3" xr3:uid="{84728A9C-568B-474B-85A2-AFE6F2EFF21C}" name="solution_dp"/>
    <tableColumn id="4" xr3:uid="{53CB088A-8CA8-4563-B039-C0DC57C2A440}" name="optimal_dp"/>
    <tableColumn id="5" xr3:uid="{F44C4611-84BA-4EF9-B2D7-6B20DEE950F9}" name="duration_iqcp"/>
    <tableColumn id="6" xr3:uid="{3C0896ED-A69E-409C-8A70-386FD0A4404A}" name="solution_iqcp"/>
    <tableColumn id="7" xr3:uid="{588392B2-1351-4C16-B266-37AD7B285D6A}" name="optimal_iqcp"/>
    <tableColumn id="8" xr3:uid="{45C5813D-AB67-44D7-85DE-D406834ED290}" name="duration"/>
    <tableColumn id="9" xr3:uid="{D026CDC6-E7B4-47CD-84B6-78A6DB15CC61}" name="solution"/>
    <tableColumn id="10" xr3:uid="{D46E1696-9710-449A-B9A8-56D3B2D60A93}" name="optimal"/>
    <tableColumn id="11" xr3:uid="{DD6215A9-4B69-47A8-93F0-739FA44CA7F3}" name="duration_miqcp"/>
    <tableColumn id="12" xr3:uid="{52899903-0EC1-44F5-B71C-CF2FA00E57FE}" name="solution_miqcp"/>
    <tableColumn id="13" xr3:uid="{4E7C857C-9871-40F8-92AA-21B9D82D24FA}" name="optimal_miqcp"/>
    <tableColumn id="14" xr3:uid="{B4FA3301-6B8B-4C79-B9C7-8356AE5DAE08}" name="duration_greedy"/>
    <tableColumn id="15" xr3:uid="{22A73CC9-3AEA-42AE-9530-F0C2F6066540}" name="solution_greedy"/>
    <tableColumn id="16" xr3:uid="{156B0E99-D734-4D74-A995-58ABD712E0BE}" name="optimal_greedy"/>
    <tableColumn id="17" xr3:uid="{AEF23281-E100-4032-98B2-51D6A1069BE1}" name="n_nodes"/>
    <tableColumn id="18" xr3:uid="{A6A533C5-4D86-4757-B302-F73DB436574C}" name="solution_rollout"/>
    <tableColumn id="19" xr3:uid="{180940E4-718A-4CF5-8068-59535262C996}" name="final_damage"/>
    <tableColumn id="20" xr3:uid="{2A7D6C05-1589-4999-B089-2FC515118963}" name="time_taken"/>
    <tableColumn id="21" xr3:uid="{24607280-25F0-4110-BCF5-7ED386EC5889}" name="optimal_rollout"/>
    <tableColumn id="22" xr3:uid="{1C5459FB-87EA-4299-B8AB-76FC201D9F62}" name="diff_iqcp_rollout"/>
    <tableColumn id="23" xr3:uid="{90418999-D02B-4F4E-8CF6-26049F920A02}" name="diff_ilp_rollout"/>
    <tableColumn id="24" xr3:uid="{521A57BF-3457-4D93-B3AC-9D9B824C2D66}" name="diff_greedy_rollo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5576C-415A-41E3-A6F0-C59B2C8B51E8}" name="Table13" displayName="Table13" ref="A1:E61" totalsRowShown="0">
  <autoFilter ref="A1:E61" xr:uid="{59CECD65-70BA-4E46-852B-62E4C307CDCC}"/>
  <tableColumns count="5">
    <tableColumn id="1" xr3:uid="{63935A6F-506F-4891-B316-02FDD72C604D}" name="experiment"/>
    <tableColumn id="7" xr3:uid="{9C91F4D5-018A-4D42-AA28-65422A05CA0F}" name="optimal_iqcp"/>
    <tableColumn id="17" xr3:uid="{E743E4F9-457B-47C1-9ECD-CBBAEAD9BC48}" name="n_nodes"/>
    <tableColumn id="21" xr3:uid="{3D30AC41-9B14-42D5-8178-3F7DCED17F18}" name="optimal_rollout"/>
    <tableColumn id="25" xr3:uid="{638E9478-2684-4579-8547-E22699CB214A}" name="gap" dataDxfId="8">
      <calculatedColumnFormula>(Table13[[#This Row],[optimal_iqcp]]-Table13[[#This Row],[optimal_rollout]])/Table13[[#This Row],[optimal_iqcp]]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C08DD6-8891-47E7-ABA7-0FB5AAAB71E1}" name="Table4" displayName="Table4" ref="G1:I61" totalsRowShown="0">
  <autoFilter ref="G1:I61" xr:uid="{9AC08DD6-8891-47E7-ABA7-0FB5AAAB71E1}"/>
  <sortState xmlns:xlrd2="http://schemas.microsoft.com/office/spreadsheetml/2017/richdata2" ref="G2:I61">
    <sortCondition ref="H1:H61"/>
  </sortState>
  <tableColumns count="3">
    <tableColumn id="1" xr3:uid="{6241385D-FFCB-483A-A357-A07C0420FCC5}" name="experiment"/>
    <tableColumn id="3" xr3:uid="{EDBA15A4-DCB4-40DC-9661-93BF40418F54}" name="n_nodes"/>
    <tableColumn id="5" xr3:uid="{075D6CCB-60B6-4B86-8BC2-FEFDC78267F3}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8A0283-55D9-46AC-809B-C503D9E63088}" name="Table5" displayName="Table5" ref="A1:F11" totalsRowShown="0" dataDxfId="0" tableBorderDxfId="7">
  <autoFilter ref="A1:F11" xr:uid="{CD8A0283-55D9-46AC-809B-C503D9E63088}"/>
  <tableColumns count="6">
    <tableColumn id="1" xr3:uid="{557F54D2-B7FD-4548-A591-C7021ADDD6A9}" name="20" dataDxfId="6"/>
    <tableColumn id="2" xr3:uid="{6AFE0491-FFA3-4A95-9CA6-B7013CC0A00C}" name="25" dataDxfId="5"/>
    <tableColumn id="3" xr3:uid="{9E599ECA-CFD2-419B-898A-0AF7F5A6E45A}" name="40" dataDxfId="4"/>
    <tableColumn id="4" xr3:uid="{C9C60243-98B8-4004-83E5-70509EB24897}" name="50" dataDxfId="3"/>
    <tableColumn id="5" xr3:uid="{F5823595-56A3-43CC-9BFC-7BBB7F923585}" name="75" dataDxfId="2"/>
    <tableColumn id="6" xr3:uid="{724C62DE-68EA-46BB-A247-298F72226E7B}" name="100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C561-C81D-4FB5-AC8D-302A4B8BC413}">
  <dimension ref="A1:X61"/>
  <sheetViews>
    <sheetView workbookViewId="0">
      <selection sqref="A1:X61"/>
    </sheetView>
  </sheetViews>
  <sheetFormatPr defaultRowHeight="15" x14ac:dyDescent="0.25"/>
  <cols>
    <col min="1" max="1" width="13.5703125" customWidth="1"/>
    <col min="2" max="2" width="13.85546875" customWidth="1"/>
    <col min="3" max="3" width="13.7109375" customWidth="1"/>
    <col min="4" max="4" width="13.140625" customWidth="1"/>
    <col min="5" max="5" width="15.42578125" customWidth="1"/>
    <col min="6" max="6" width="15.28515625" customWidth="1"/>
    <col min="7" max="7" width="14.7109375" customWidth="1"/>
    <col min="8" max="8" width="10.7109375" customWidth="1"/>
    <col min="9" max="9" width="10.5703125" customWidth="1"/>
    <col min="10" max="10" width="10" customWidth="1"/>
    <col min="11" max="11" width="17.140625" customWidth="1"/>
    <col min="12" max="12" width="17" customWidth="1"/>
    <col min="13" max="13" width="16.42578125" customWidth="1"/>
    <col min="14" max="14" width="17.7109375" customWidth="1"/>
    <col min="15" max="15" width="17.5703125" customWidth="1"/>
    <col min="16" max="16" width="17" customWidth="1"/>
    <col min="17" max="17" width="10.7109375" customWidth="1"/>
    <col min="18" max="18" width="17.42578125" customWidth="1"/>
    <col min="19" max="19" width="15" customWidth="1"/>
    <col min="20" max="20" width="13.140625" customWidth="1"/>
    <col min="21" max="21" width="16.85546875" customWidth="1"/>
    <col min="22" max="22" width="17.85546875" customWidth="1"/>
    <col min="23" max="23" width="16.28515625" customWidth="1"/>
    <col min="24" max="24" width="20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0.17613744735717701</v>
      </c>
      <c r="C2" t="s">
        <v>24</v>
      </c>
      <c r="D2">
        <v>16</v>
      </c>
      <c r="E2">
        <v>13.040886640548701</v>
      </c>
      <c r="F2" t="s">
        <v>24</v>
      </c>
      <c r="G2">
        <v>16</v>
      </c>
      <c r="H2">
        <v>47.8435056209564</v>
      </c>
      <c r="I2" t="s">
        <v>25</v>
      </c>
      <c r="J2">
        <v>16</v>
      </c>
      <c r="K2">
        <v>23232.2081673145</v>
      </c>
      <c r="L2" t="s">
        <v>26</v>
      </c>
      <c r="M2">
        <v>16</v>
      </c>
      <c r="N2">
        <v>1.48313045501708E-2</v>
      </c>
      <c r="O2" t="s">
        <v>24</v>
      </c>
      <c r="P2">
        <v>16</v>
      </c>
      <c r="Q2">
        <v>25</v>
      </c>
      <c r="R2" t="s">
        <v>27</v>
      </c>
      <c r="S2">
        <v>9</v>
      </c>
      <c r="T2">
        <v>0.308791853000002</v>
      </c>
      <c r="U2">
        <v>16</v>
      </c>
      <c r="V2">
        <v>0</v>
      </c>
      <c r="W2">
        <v>0</v>
      </c>
      <c r="X2">
        <v>0</v>
      </c>
    </row>
    <row r="3" spans="1:24" x14ac:dyDescent="0.25">
      <c r="A3">
        <v>2</v>
      </c>
      <c r="B3">
        <v>0.155776977539062</v>
      </c>
      <c r="C3" t="s">
        <v>28</v>
      </c>
      <c r="D3">
        <v>20</v>
      </c>
      <c r="E3">
        <v>5.0183191299438397</v>
      </c>
      <c r="F3" t="s">
        <v>29</v>
      </c>
      <c r="G3">
        <v>20</v>
      </c>
      <c r="H3">
        <v>17.926093339920001</v>
      </c>
      <c r="I3" t="s">
        <v>29</v>
      </c>
      <c r="J3">
        <v>20</v>
      </c>
      <c r="K3">
        <v>86400.072399616198</v>
      </c>
      <c r="N3">
        <v>4.5094490051269497E-3</v>
      </c>
      <c r="O3" t="s">
        <v>30</v>
      </c>
      <c r="P3">
        <v>19</v>
      </c>
      <c r="Q3">
        <v>25</v>
      </c>
      <c r="R3" t="s">
        <v>31</v>
      </c>
      <c r="S3">
        <v>5</v>
      </c>
      <c r="T3">
        <v>0.60000323900021602</v>
      </c>
      <c r="U3">
        <v>20</v>
      </c>
      <c r="V3">
        <v>0</v>
      </c>
      <c r="W3">
        <v>0</v>
      </c>
      <c r="X3">
        <v>1</v>
      </c>
    </row>
    <row r="4" spans="1:24" x14ac:dyDescent="0.25">
      <c r="A4">
        <v>3</v>
      </c>
      <c r="B4">
        <v>3.4204645156860298</v>
      </c>
      <c r="C4" t="s">
        <v>32</v>
      </c>
      <c r="D4">
        <v>21</v>
      </c>
      <c r="E4">
        <v>10.010939359664899</v>
      </c>
      <c r="F4" t="s">
        <v>32</v>
      </c>
      <c r="G4">
        <v>21</v>
      </c>
      <c r="H4">
        <v>17.008090019226</v>
      </c>
      <c r="I4" t="s">
        <v>32</v>
      </c>
      <c r="J4">
        <v>21</v>
      </c>
      <c r="K4">
        <v>1425.4224481582601</v>
      </c>
      <c r="L4" t="s">
        <v>32</v>
      </c>
      <c r="M4">
        <v>21</v>
      </c>
      <c r="N4">
        <v>4.02426719665527E-3</v>
      </c>
      <c r="O4" t="s">
        <v>32</v>
      </c>
      <c r="P4">
        <v>21</v>
      </c>
      <c r="Q4">
        <v>25</v>
      </c>
      <c r="R4" t="s">
        <v>33</v>
      </c>
      <c r="S4">
        <v>4</v>
      </c>
      <c r="T4">
        <v>0.68429619800008301</v>
      </c>
      <c r="U4">
        <v>21</v>
      </c>
      <c r="V4">
        <v>0</v>
      </c>
      <c r="W4">
        <v>0</v>
      </c>
      <c r="X4">
        <v>0</v>
      </c>
    </row>
    <row r="5" spans="1:24" x14ac:dyDescent="0.25">
      <c r="A5">
        <v>4</v>
      </c>
      <c r="B5">
        <v>0.351595878601074</v>
      </c>
      <c r="C5" t="s">
        <v>34</v>
      </c>
      <c r="D5">
        <v>18</v>
      </c>
      <c r="E5">
        <v>8.5404961109161306</v>
      </c>
      <c r="F5" t="s">
        <v>34</v>
      </c>
      <c r="G5">
        <v>18</v>
      </c>
      <c r="H5">
        <v>27.0141856670379</v>
      </c>
      <c r="I5" t="s">
        <v>34</v>
      </c>
      <c r="J5">
        <v>18</v>
      </c>
      <c r="K5">
        <v>79622.901596307696</v>
      </c>
      <c r="L5" t="s">
        <v>35</v>
      </c>
      <c r="M5">
        <v>18</v>
      </c>
      <c r="N5">
        <v>4.1053295135498004E-3</v>
      </c>
      <c r="O5" t="s">
        <v>36</v>
      </c>
      <c r="P5">
        <v>17</v>
      </c>
      <c r="Q5">
        <v>25</v>
      </c>
      <c r="R5" t="s">
        <v>37</v>
      </c>
      <c r="S5">
        <v>8</v>
      </c>
      <c r="T5">
        <v>6.1295366000194897E-2</v>
      </c>
      <c r="U5">
        <v>17</v>
      </c>
      <c r="V5">
        <v>-1</v>
      </c>
      <c r="W5">
        <v>-1</v>
      </c>
      <c r="X5">
        <v>0</v>
      </c>
    </row>
    <row r="6" spans="1:24" x14ac:dyDescent="0.25">
      <c r="A6">
        <v>5</v>
      </c>
      <c r="B6">
        <v>1.79218649864196</v>
      </c>
      <c r="C6" t="s">
        <v>38</v>
      </c>
      <c r="D6">
        <v>22</v>
      </c>
      <c r="E6">
        <v>10.0670824050903</v>
      </c>
      <c r="F6" t="s">
        <v>38</v>
      </c>
      <c r="G6">
        <v>22</v>
      </c>
      <c r="H6">
        <v>20.0004465579986</v>
      </c>
      <c r="I6" t="s">
        <v>38</v>
      </c>
      <c r="J6">
        <v>22</v>
      </c>
      <c r="K6">
        <v>43438.653435230197</v>
      </c>
      <c r="L6" t="s">
        <v>39</v>
      </c>
      <c r="M6">
        <v>22</v>
      </c>
      <c r="N6">
        <v>4.1453838348388602E-3</v>
      </c>
      <c r="O6" t="s">
        <v>38</v>
      </c>
      <c r="P6">
        <v>22</v>
      </c>
      <c r="Q6">
        <v>25</v>
      </c>
      <c r="R6" t="s">
        <v>40</v>
      </c>
      <c r="S6">
        <v>3</v>
      </c>
      <c r="T6">
        <v>0.53941635699993595</v>
      </c>
      <c r="U6">
        <v>22</v>
      </c>
      <c r="V6">
        <v>0</v>
      </c>
      <c r="W6">
        <v>0</v>
      </c>
      <c r="X6">
        <v>0</v>
      </c>
    </row>
    <row r="7" spans="1:24" x14ac:dyDescent="0.25">
      <c r="A7">
        <v>6</v>
      </c>
      <c r="B7">
        <v>0.19284844398498499</v>
      </c>
      <c r="C7" t="s">
        <v>41</v>
      </c>
      <c r="D7">
        <v>19</v>
      </c>
      <c r="E7">
        <v>10.538142442703201</v>
      </c>
      <c r="F7" t="s">
        <v>41</v>
      </c>
      <c r="G7">
        <v>19</v>
      </c>
      <c r="H7">
        <v>37.179535388946498</v>
      </c>
      <c r="I7" t="s">
        <v>41</v>
      </c>
      <c r="J7">
        <v>19</v>
      </c>
      <c r="K7">
        <v>86400.035922765703</v>
      </c>
      <c r="N7">
        <v>4.6305656433105399E-3</v>
      </c>
      <c r="O7" t="s">
        <v>41</v>
      </c>
      <c r="P7">
        <v>19</v>
      </c>
      <c r="Q7">
        <v>25</v>
      </c>
      <c r="R7" t="s">
        <v>42</v>
      </c>
      <c r="S7">
        <v>6</v>
      </c>
      <c r="T7">
        <v>0.23622381599943701</v>
      </c>
      <c r="U7">
        <v>19</v>
      </c>
      <c r="V7">
        <v>0</v>
      </c>
      <c r="W7">
        <v>0</v>
      </c>
      <c r="X7">
        <v>0</v>
      </c>
    </row>
    <row r="8" spans="1:24" x14ac:dyDescent="0.25">
      <c r="A8">
        <v>7</v>
      </c>
      <c r="B8">
        <v>2.04270243644714</v>
      </c>
      <c r="C8" t="s">
        <v>43</v>
      </c>
      <c r="D8">
        <v>18</v>
      </c>
      <c r="E8">
        <v>13.6858465671539</v>
      </c>
      <c r="F8" t="s">
        <v>44</v>
      </c>
      <c r="G8">
        <v>18</v>
      </c>
      <c r="H8">
        <v>43.679955959319997</v>
      </c>
      <c r="I8" t="s">
        <v>45</v>
      </c>
      <c r="J8">
        <v>18</v>
      </c>
      <c r="K8">
        <v>86400.141284465702</v>
      </c>
      <c r="N8">
        <v>4.2986869812011701E-3</v>
      </c>
      <c r="O8" t="s">
        <v>46</v>
      </c>
      <c r="P8">
        <v>18</v>
      </c>
      <c r="Q8">
        <v>25</v>
      </c>
      <c r="R8" t="s">
        <v>47</v>
      </c>
      <c r="S8">
        <v>7</v>
      </c>
      <c r="T8">
        <v>0.82860088500001405</v>
      </c>
      <c r="U8">
        <v>18</v>
      </c>
      <c r="V8">
        <v>0</v>
      </c>
      <c r="W8">
        <v>0</v>
      </c>
      <c r="X8">
        <v>0</v>
      </c>
    </row>
    <row r="9" spans="1:24" x14ac:dyDescent="0.25">
      <c r="A9">
        <v>8</v>
      </c>
      <c r="B9">
        <v>1.88013172149658</v>
      </c>
      <c r="C9" t="s">
        <v>48</v>
      </c>
      <c r="D9">
        <v>19</v>
      </c>
      <c r="E9">
        <v>15.0325124263763</v>
      </c>
      <c r="F9" t="s">
        <v>49</v>
      </c>
      <c r="G9">
        <v>19</v>
      </c>
      <c r="H9">
        <v>35.265093088150003</v>
      </c>
      <c r="I9" t="s">
        <v>49</v>
      </c>
      <c r="J9">
        <v>19</v>
      </c>
      <c r="K9">
        <v>86400.195896625504</v>
      </c>
      <c r="N9">
        <v>4.3210983276367101E-3</v>
      </c>
      <c r="O9" t="s">
        <v>49</v>
      </c>
      <c r="P9">
        <v>19</v>
      </c>
      <c r="Q9">
        <v>25</v>
      </c>
      <c r="R9" t="s">
        <v>50</v>
      </c>
      <c r="S9">
        <v>6</v>
      </c>
      <c r="T9">
        <v>0.70843770800001904</v>
      </c>
      <c r="U9">
        <v>19</v>
      </c>
      <c r="V9">
        <v>0</v>
      </c>
      <c r="W9">
        <v>0</v>
      </c>
      <c r="X9">
        <v>0</v>
      </c>
    </row>
    <row r="10" spans="1:24" x14ac:dyDescent="0.25">
      <c r="A10">
        <v>9</v>
      </c>
      <c r="B10">
        <v>0.31319165229797302</v>
      </c>
      <c r="C10" t="s">
        <v>51</v>
      </c>
      <c r="D10">
        <v>18</v>
      </c>
      <c r="E10">
        <v>27.342374086380001</v>
      </c>
      <c r="F10" t="s">
        <v>52</v>
      </c>
      <c r="G10">
        <v>18</v>
      </c>
      <c r="H10">
        <v>46.145465373992899</v>
      </c>
      <c r="I10" t="s">
        <v>53</v>
      </c>
      <c r="J10">
        <v>18</v>
      </c>
      <c r="K10">
        <v>86400.132020473393</v>
      </c>
      <c r="N10">
        <v>4.4243335723876901E-3</v>
      </c>
      <c r="O10" t="s">
        <v>53</v>
      </c>
      <c r="P10">
        <v>18</v>
      </c>
      <c r="Q10">
        <v>25</v>
      </c>
      <c r="R10" t="s">
        <v>54</v>
      </c>
      <c r="S10">
        <v>7</v>
      </c>
      <c r="T10">
        <v>0.25433832799990302</v>
      </c>
      <c r="U10">
        <v>18</v>
      </c>
      <c r="V10">
        <v>0</v>
      </c>
      <c r="W10">
        <v>0</v>
      </c>
      <c r="X10">
        <v>0</v>
      </c>
    </row>
    <row r="11" spans="1:24" x14ac:dyDescent="0.25">
      <c r="A11">
        <v>10</v>
      </c>
      <c r="B11">
        <v>0.11955213546752901</v>
      </c>
      <c r="C11" t="s">
        <v>55</v>
      </c>
      <c r="D11">
        <v>20</v>
      </c>
      <c r="E11">
        <v>8.4801874160766602</v>
      </c>
      <c r="F11" t="s">
        <v>56</v>
      </c>
      <c r="G11">
        <v>20</v>
      </c>
      <c r="H11">
        <v>30.6950695514678</v>
      </c>
      <c r="I11" t="s">
        <v>56</v>
      </c>
      <c r="J11">
        <v>20</v>
      </c>
      <c r="K11">
        <v>86400.117207765506</v>
      </c>
      <c r="N11">
        <v>4.1575431823730399E-3</v>
      </c>
      <c r="O11" t="s">
        <v>57</v>
      </c>
      <c r="P11">
        <v>12</v>
      </c>
      <c r="Q11">
        <v>25</v>
      </c>
      <c r="R11" t="s">
        <v>58</v>
      </c>
      <c r="S11">
        <v>5</v>
      </c>
      <c r="T11">
        <v>0.36288929600050301</v>
      </c>
      <c r="U11">
        <v>20</v>
      </c>
      <c r="V11">
        <v>0</v>
      </c>
      <c r="W11">
        <v>0</v>
      </c>
      <c r="X11">
        <v>8</v>
      </c>
    </row>
    <row r="12" spans="1:24" x14ac:dyDescent="0.25">
      <c r="A12">
        <v>11</v>
      </c>
      <c r="B12">
        <v>756.54569530487004</v>
      </c>
      <c r="C12" t="s">
        <v>59</v>
      </c>
      <c r="D12">
        <v>36</v>
      </c>
      <c r="E12">
        <v>78.926250696182194</v>
      </c>
      <c r="F12" t="s">
        <v>60</v>
      </c>
      <c r="G12">
        <v>36</v>
      </c>
      <c r="H12">
        <v>336.39172744750903</v>
      </c>
      <c r="I12" t="s">
        <v>61</v>
      </c>
      <c r="J12">
        <v>36</v>
      </c>
      <c r="N12">
        <v>5.05590438842773E-3</v>
      </c>
      <c r="O12" t="s">
        <v>62</v>
      </c>
      <c r="P12">
        <v>31</v>
      </c>
      <c r="Q12">
        <v>40</v>
      </c>
      <c r="R12" t="s">
        <v>63</v>
      </c>
      <c r="S12">
        <v>4</v>
      </c>
      <c r="T12">
        <v>3.87154061000001</v>
      </c>
      <c r="U12">
        <v>36</v>
      </c>
      <c r="V12">
        <v>0</v>
      </c>
      <c r="W12">
        <v>0</v>
      </c>
      <c r="X12">
        <v>5</v>
      </c>
    </row>
    <row r="13" spans="1:24" x14ac:dyDescent="0.25">
      <c r="A13">
        <v>12</v>
      </c>
      <c r="B13">
        <v>10313.590175151799</v>
      </c>
      <c r="C13" t="s">
        <v>64</v>
      </c>
      <c r="D13">
        <v>36</v>
      </c>
      <c r="E13">
        <v>57.669784307479802</v>
      </c>
      <c r="F13" t="s">
        <v>64</v>
      </c>
      <c r="G13">
        <v>36</v>
      </c>
      <c r="H13">
        <v>124.701942443847</v>
      </c>
      <c r="I13" t="s">
        <v>64</v>
      </c>
      <c r="J13">
        <v>36</v>
      </c>
      <c r="N13">
        <v>4.7380924224853498E-3</v>
      </c>
      <c r="O13" t="s">
        <v>64</v>
      </c>
      <c r="P13">
        <v>36</v>
      </c>
      <c r="Q13">
        <v>40</v>
      </c>
      <c r="R13" t="s">
        <v>65</v>
      </c>
      <c r="S13">
        <v>4</v>
      </c>
      <c r="T13">
        <v>13.8645583409997</v>
      </c>
      <c r="U13">
        <v>36</v>
      </c>
      <c r="V13">
        <v>0</v>
      </c>
      <c r="W13">
        <v>0</v>
      </c>
      <c r="X13">
        <v>0</v>
      </c>
    </row>
    <row r="14" spans="1:24" x14ac:dyDescent="0.25">
      <c r="A14">
        <v>13</v>
      </c>
      <c r="B14">
        <v>86400.276016235293</v>
      </c>
      <c r="E14">
        <v>92.590262651443396</v>
      </c>
      <c r="F14" t="s">
        <v>46</v>
      </c>
      <c r="G14">
        <v>38</v>
      </c>
      <c r="H14">
        <v>196.18166255950899</v>
      </c>
      <c r="I14" t="s">
        <v>66</v>
      </c>
      <c r="J14">
        <v>38</v>
      </c>
      <c r="N14">
        <v>4.8034191131591797E-3</v>
      </c>
      <c r="O14" t="s">
        <v>66</v>
      </c>
      <c r="P14">
        <v>38</v>
      </c>
      <c r="Q14">
        <v>40</v>
      </c>
      <c r="R14" t="s">
        <v>67</v>
      </c>
      <c r="S14">
        <v>2</v>
      </c>
      <c r="T14">
        <v>14.8439637400006</v>
      </c>
      <c r="U14">
        <v>38</v>
      </c>
      <c r="V14">
        <v>0</v>
      </c>
      <c r="W14">
        <v>0</v>
      </c>
      <c r="X14">
        <v>0</v>
      </c>
    </row>
    <row r="15" spans="1:24" x14ac:dyDescent="0.25">
      <c r="A15">
        <v>14</v>
      </c>
      <c r="B15">
        <v>2821.6056025028201</v>
      </c>
      <c r="C15" t="s">
        <v>68</v>
      </c>
      <c r="D15">
        <v>39</v>
      </c>
      <c r="E15">
        <v>49.555662393569897</v>
      </c>
      <c r="F15" t="s">
        <v>68</v>
      </c>
      <c r="G15">
        <v>39</v>
      </c>
      <c r="H15">
        <v>110.51520371437</v>
      </c>
      <c r="I15" t="s">
        <v>69</v>
      </c>
      <c r="J15">
        <v>39</v>
      </c>
      <c r="N15">
        <v>5.0327777862548802E-3</v>
      </c>
      <c r="O15" t="s">
        <v>68</v>
      </c>
      <c r="P15">
        <v>39</v>
      </c>
      <c r="Q15">
        <v>40</v>
      </c>
      <c r="R15" t="s">
        <v>70</v>
      </c>
      <c r="S15">
        <v>1</v>
      </c>
      <c r="T15">
        <v>16.021237521999801</v>
      </c>
      <c r="U15">
        <v>39</v>
      </c>
      <c r="V15">
        <v>0</v>
      </c>
      <c r="W15">
        <v>0</v>
      </c>
      <c r="X15">
        <v>0</v>
      </c>
    </row>
    <row r="16" spans="1:24" x14ac:dyDescent="0.25">
      <c r="A16">
        <v>15</v>
      </c>
      <c r="B16">
        <v>19938.966321229898</v>
      </c>
      <c r="C16" t="s">
        <v>71</v>
      </c>
      <c r="D16">
        <v>36</v>
      </c>
      <c r="E16">
        <v>68.489382982254</v>
      </c>
      <c r="F16" t="s">
        <v>71</v>
      </c>
      <c r="G16">
        <v>36</v>
      </c>
      <c r="H16">
        <v>240.73659229278499</v>
      </c>
      <c r="I16" t="s">
        <v>71</v>
      </c>
      <c r="J16">
        <v>36</v>
      </c>
      <c r="N16">
        <v>4.9045085906982396E-3</v>
      </c>
      <c r="O16" t="s">
        <v>71</v>
      </c>
      <c r="P16">
        <v>36</v>
      </c>
      <c r="Q16">
        <v>40</v>
      </c>
      <c r="R16" t="s">
        <v>72</v>
      </c>
      <c r="S16">
        <v>4</v>
      </c>
      <c r="T16">
        <v>5.1966463299995604</v>
      </c>
      <c r="U16">
        <v>36</v>
      </c>
      <c r="V16">
        <v>0</v>
      </c>
      <c r="W16">
        <v>0</v>
      </c>
      <c r="X16">
        <v>0</v>
      </c>
    </row>
    <row r="17" spans="1:24" x14ac:dyDescent="0.25">
      <c r="A17">
        <v>16</v>
      </c>
      <c r="B17">
        <v>430.32573366165099</v>
      </c>
      <c r="C17" t="s">
        <v>73</v>
      </c>
      <c r="D17">
        <v>34</v>
      </c>
      <c r="E17">
        <v>58.673640489578197</v>
      </c>
      <c r="F17" t="s">
        <v>74</v>
      </c>
      <c r="G17">
        <v>34</v>
      </c>
      <c r="H17">
        <v>262.88486266136101</v>
      </c>
      <c r="I17" t="s">
        <v>75</v>
      </c>
      <c r="J17">
        <v>34</v>
      </c>
      <c r="N17">
        <v>4.8835277557373004E-3</v>
      </c>
      <c r="O17" t="s">
        <v>76</v>
      </c>
      <c r="P17">
        <v>33</v>
      </c>
      <c r="Q17">
        <v>40</v>
      </c>
      <c r="R17" t="s">
        <v>77</v>
      </c>
      <c r="S17">
        <v>6</v>
      </c>
      <c r="T17">
        <v>5.4381008430000204</v>
      </c>
      <c r="U17">
        <v>34</v>
      </c>
      <c r="V17">
        <v>0</v>
      </c>
      <c r="W17">
        <v>0</v>
      </c>
      <c r="X17">
        <v>1</v>
      </c>
    </row>
    <row r="18" spans="1:24" x14ac:dyDescent="0.25">
      <c r="A18">
        <v>17</v>
      </c>
      <c r="B18">
        <v>3930.6082119941698</v>
      </c>
      <c r="C18" t="s">
        <v>78</v>
      </c>
      <c r="D18">
        <v>36</v>
      </c>
      <c r="E18">
        <v>58.510285615920999</v>
      </c>
      <c r="F18" t="s">
        <v>79</v>
      </c>
      <c r="G18">
        <v>36</v>
      </c>
      <c r="H18">
        <v>241.108869075775</v>
      </c>
      <c r="I18" t="s">
        <v>78</v>
      </c>
      <c r="J18">
        <v>36</v>
      </c>
      <c r="N18">
        <v>4.7316551208495998E-3</v>
      </c>
      <c r="O18" t="s">
        <v>80</v>
      </c>
      <c r="P18">
        <v>35</v>
      </c>
      <c r="Q18">
        <v>40</v>
      </c>
      <c r="R18" t="s">
        <v>81</v>
      </c>
      <c r="S18">
        <v>4</v>
      </c>
      <c r="T18">
        <v>3.9884953780001502</v>
      </c>
      <c r="U18">
        <v>36</v>
      </c>
      <c r="V18">
        <v>0</v>
      </c>
      <c r="W18">
        <v>0</v>
      </c>
      <c r="X18">
        <v>1</v>
      </c>
    </row>
    <row r="19" spans="1:24" x14ac:dyDescent="0.25">
      <c r="A19">
        <v>18</v>
      </c>
      <c r="B19">
        <v>3804.9753289222699</v>
      </c>
      <c r="C19" t="s">
        <v>82</v>
      </c>
      <c r="D19">
        <v>38</v>
      </c>
      <c r="E19">
        <v>57.792312145233097</v>
      </c>
      <c r="F19" t="s">
        <v>83</v>
      </c>
      <c r="G19">
        <v>38</v>
      </c>
      <c r="H19">
        <v>132.336965322494</v>
      </c>
      <c r="I19" t="s">
        <v>83</v>
      </c>
      <c r="J19">
        <v>38</v>
      </c>
      <c r="N19">
        <v>5.3415298461914002E-3</v>
      </c>
      <c r="O19" t="s">
        <v>82</v>
      </c>
      <c r="P19">
        <v>38</v>
      </c>
      <c r="Q19">
        <v>40</v>
      </c>
      <c r="R19" t="s">
        <v>84</v>
      </c>
      <c r="S19">
        <v>2</v>
      </c>
      <c r="T19">
        <v>6.8793249709997299</v>
      </c>
      <c r="U19">
        <v>38</v>
      </c>
      <c r="V19">
        <v>0</v>
      </c>
      <c r="W19">
        <v>0</v>
      </c>
      <c r="X19">
        <v>0</v>
      </c>
    </row>
    <row r="20" spans="1:24" x14ac:dyDescent="0.25">
      <c r="A20">
        <v>19</v>
      </c>
      <c r="B20">
        <v>4533.96942925453</v>
      </c>
      <c r="C20" t="s">
        <v>85</v>
      </c>
      <c r="D20">
        <v>34</v>
      </c>
      <c r="E20">
        <v>43.429264545440603</v>
      </c>
      <c r="F20" t="s">
        <v>86</v>
      </c>
      <c r="G20">
        <v>34</v>
      </c>
      <c r="H20">
        <v>184.54431152343699</v>
      </c>
      <c r="I20" t="s">
        <v>86</v>
      </c>
      <c r="J20">
        <v>34</v>
      </c>
      <c r="N20">
        <v>4.7674179077148403E-3</v>
      </c>
      <c r="O20" t="s">
        <v>86</v>
      </c>
      <c r="P20">
        <v>34</v>
      </c>
      <c r="Q20">
        <v>40</v>
      </c>
      <c r="R20" t="s">
        <v>87</v>
      </c>
      <c r="S20">
        <v>6</v>
      </c>
      <c r="T20">
        <v>3.6670311400002902</v>
      </c>
      <c r="U20">
        <v>34</v>
      </c>
      <c r="V20">
        <v>0</v>
      </c>
      <c r="W20">
        <v>0</v>
      </c>
      <c r="X20">
        <v>0</v>
      </c>
    </row>
    <row r="21" spans="1:24" x14ac:dyDescent="0.25">
      <c r="A21">
        <v>20</v>
      </c>
      <c r="B21">
        <v>86402.942539453506</v>
      </c>
      <c r="E21">
        <v>75.783718585968003</v>
      </c>
      <c r="F21" t="s">
        <v>88</v>
      </c>
      <c r="G21">
        <v>36</v>
      </c>
      <c r="H21">
        <v>272.98981332778902</v>
      </c>
      <c r="I21" t="s">
        <v>88</v>
      </c>
      <c r="J21">
        <v>36</v>
      </c>
      <c r="N21">
        <v>4.8246383666992101E-3</v>
      </c>
      <c r="O21" t="s">
        <v>88</v>
      </c>
      <c r="P21">
        <v>36</v>
      </c>
      <c r="Q21">
        <v>40</v>
      </c>
      <c r="R21" t="s">
        <v>89</v>
      </c>
      <c r="S21">
        <v>4</v>
      </c>
      <c r="T21">
        <v>17.771454538999901</v>
      </c>
      <c r="U21">
        <v>36</v>
      </c>
      <c r="V21">
        <v>0</v>
      </c>
      <c r="W21">
        <v>0</v>
      </c>
      <c r="X21">
        <v>0</v>
      </c>
    </row>
    <row r="22" spans="1:24" x14ac:dyDescent="0.25">
      <c r="A22">
        <v>21</v>
      </c>
      <c r="E22">
        <v>148.485704660415</v>
      </c>
      <c r="F22" t="s">
        <v>90</v>
      </c>
      <c r="G22">
        <v>46</v>
      </c>
      <c r="H22">
        <v>742.771787166595</v>
      </c>
      <c r="I22" t="s">
        <v>90</v>
      </c>
      <c r="J22">
        <v>46</v>
      </c>
      <c r="N22">
        <v>5.3641796112060504E-3</v>
      </c>
      <c r="O22" t="s">
        <v>90</v>
      </c>
      <c r="P22">
        <v>46</v>
      </c>
      <c r="Q22">
        <v>50</v>
      </c>
      <c r="R22" t="s">
        <v>91</v>
      </c>
      <c r="S22">
        <v>4</v>
      </c>
      <c r="T22">
        <v>52.139466746999403</v>
      </c>
      <c r="U22">
        <v>46</v>
      </c>
      <c r="V22">
        <v>0</v>
      </c>
      <c r="W22">
        <v>0</v>
      </c>
      <c r="X22">
        <v>0</v>
      </c>
    </row>
    <row r="23" spans="1:24" x14ac:dyDescent="0.25">
      <c r="A23">
        <v>22</v>
      </c>
      <c r="E23">
        <v>68.101652383804307</v>
      </c>
      <c r="F23" t="s">
        <v>92</v>
      </c>
      <c r="G23">
        <v>49</v>
      </c>
      <c r="H23">
        <v>188.78203177451999</v>
      </c>
      <c r="I23" t="s">
        <v>92</v>
      </c>
      <c r="J23">
        <v>49</v>
      </c>
      <c r="N23">
        <v>5.5255889892578099E-3</v>
      </c>
      <c r="O23" t="s">
        <v>93</v>
      </c>
      <c r="P23">
        <v>48</v>
      </c>
      <c r="Q23">
        <v>50</v>
      </c>
      <c r="R23" t="s">
        <v>94</v>
      </c>
      <c r="S23">
        <v>1</v>
      </c>
      <c r="T23">
        <v>28.7506917909995</v>
      </c>
      <c r="U23">
        <v>49</v>
      </c>
      <c r="V23">
        <v>0</v>
      </c>
      <c r="W23">
        <v>0</v>
      </c>
      <c r="X23">
        <v>1</v>
      </c>
    </row>
    <row r="24" spans="1:24" x14ac:dyDescent="0.25">
      <c r="A24">
        <v>23</v>
      </c>
      <c r="E24">
        <v>163.80628585815401</v>
      </c>
      <c r="F24" t="s">
        <v>95</v>
      </c>
      <c r="G24">
        <v>48</v>
      </c>
      <c r="H24">
        <v>625.075266361236</v>
      </c>
      <c r="I24" t="s">
        <v>96</v>
      </c>
      <c r="J24">
        <v>48</v>
      </c>
      <c r="N24">
        <v>5.6612491607665998E-3</v>
      </c>
      <c r="O24" t="s">
        <v>97</v>
      </c>
      <c r="P24">
        <v>47</v>
      </c>
      <c r="Q24">
        <v>50</v>
      </c>
      <c r="R24" t="s">
        <v>98</v>
      </c>
      <c r="S24">
        <v>2</v>
      </c>
      <c r="T24">
        <v>40.868352464999496</v>
      </c>
      <c r="U24">
        <v>48</v>
      </c>
      <c r="V24">
        <v>0</v>
      </c>
      <c r="W24">
        <v>0</v>
      </c>
      <c r="X24">
        <v>1</v>
      </c>
    </row>
    <row r="25" spans="1:24" x14ac:dyDescent="0.25">
      <c r="A25">
        <v>24</v>
      </c>
      <c r="E25">
        <v>132.75861263275101</v>
      </c>
      <c r="F25" t="s">
        <v>99</v>
      </c>
      <c r="G25">
        <v>48</v>
      </c>
      <c r="H25">
        <v>429.64812469482399</v>
      </c>
      <c r="I25" t="s">
        <v>100</v>
      </c>
      <c r="J25">
        <v>48</v>
      </c>
      <c r="N25">
        <v>6.07061386108398E-3</v>
      </c>
      <c r="O25" t="s">
        <v>101</v>
      </c>
      <c r="P25">
        <v>46</v>
      </c>
      <c r="Q25">
        <v>50</v>
      </c>
      <c r="R25" t="s">
        <v>102</v>
      </c>
      <c r="S25">
        <v>2</v>
      </c>
      <c r="T25">
        <v>48.376064332999697</v>
      </c>
      <c r="U25">
        <v>48</v>
      </c>
      <c r="V25">
        <v>0</v>
      </c>
      <c r="W25">
        <v>0</v>
      </c>
      <c r="X25">
        <v>2</v>
      </c>
    </row>
    <row r="26" spans="1:24" x14ac:dyDescent="0.25">
      <c r="A26">
        <v>25</v>
      </c>
      <c r="E26">
        <v>671.99959683418194</v>
      </c>
      <c r="F26" t="s">
        <v>103</v>
      </c>
      <c r="G26">
        <v>44</v>
      </c>
      <c r="H26">
        <v>2373.39980578422</v>
      </c>
      <c r="I26" t="s">
        <v>104</v>
      </c>
      <c r="J26">
        <v>44</v>
      </c>
      <c r="N26">
        <v>5.7797431945800703E-3</v>
      </c>
      <c r="O26" t="s">
        <v>105</v>
      </c>
      <c r="P26">
        <v>42</v>
      </c>
      <c r="Q26">
        <v>50</v>
      </c>
      <c r="R26" t="s">
        <v>106</v>
      </c>
      <c r="S26">
        <v>6</v>
      </c>
      <c r="T26">
        <v>24.074460897999401</v>
      </c>
      <c r="U26">
        <v>44</v>
      </c>
      <c r="V26">
        <v>0</v>
      </c>
      <c r="W26">
        <v>0</v>
      </c>
      <c r="X26">
        <v>2</v>
      </c>
    </row>
    <row r="27" spans="1:24" x14ac:dyDescent="0.25">
      <c r="A27">
        <v>26</v>
      </c>
      <c r="E27">
        <v>130.107779741287</v>
      </c>
      <c r="F27" t="s">
        <v>107</v>
      </c>
      <c r="G27">
        <v>45</v>
      </c>
      <c r="H27">
        <v>602.71774530410698</v>
      </c>
      <c r="I27" t="s">
        <v>107</v>
      </c>
      <c r="J27">
        <v>45</v>
      </c>
      <c r="N27">
        <v>5.63573837280273E-3</v>
      </c>
      <c r="O27" t="s">
        <v>108</v>
      </c>
      <c r="P27">
        <v>44</v>
      </c>
      <c r="Q27">
        <v>50</v>
      </c>
      <c r="R27" t="s">
        <v>109</v>
      </c>
      <c r="S27">
        <v>5</v>
      </c>
      <c r="T27">
        <v>54.287920102000498</v>
      </c>
      <c r="U27">
        <v>45</v>
      </c>
      <c r="V27">
        <v>0</v>
      </c>
      <c r="W27">
        <v>0</v>
      </c>
      <c r="X27">
        <v>1</v>
      </c>
    </row>
    <row r="28" spans="1:24" x14ac:dyDescent="0.25">
      <c r="A28">
        <v>27</v>
      </c>
      <c r="E28">
        <v>163.08274078369101</v>
      </c>
      <c r="F28" t="s">
        <v>110</v>
      </c>
      <c r="G28">
        <v>46</v>
      </c>
      <c r="H28">
        <v>833.21767520904496</v>
      </c>
      <c r="I28" t="s">
        <v>110</v>
      </c>
      <c r="J28">
        <v>46</v>
      </c>
      <c r="N28">
        <v>5.7203769683837804E-3</v>
      </c>
      <c r="O28" t="s">
        <v>110</v>
      </c>
      <c r="P28">
        <v>46</v>
      </c>
      <c r="Q28">
        <v>50</v>
      </c>
      <c r="R28" t="s">
        <v>111</v>
      </c>
      <c r="S28">
        <v>4</v>
      </c>
      <c r="T28">
        <v>7.8249888649997903</v>
      </c>
      <c r="U28">
        <v>46</v>
      </c>
      <c r="V28">
        <v>0</v>
      </c>
      <c r="W28">
        <v>0</v>
      </c>
      <c r="X28">
        <v>0</v>
      </c>
    </row>
    <row r="29" spans="1:24" x14ac:dyDescent="0.25">
      <c r="A29">
        <v>28</v>
      </c>
      <c r="E29">
        <v>133.62734746932901</v>
      </c>
      <c r="F29" t="s">
        <v>112</v>
      </c>
      <c r="G29">
        <v>47</v>
      </c>
      <c r="H29">
        <v>517.27748632430996</v>
      </c>
      <c r="I29" t="s">
        <v>112</v>
      </c>
      <c r="J29">
        <v>47</v>
      </c>
      <c r="N29">
        <v>5.7938098907470703E-3</v>
      </c>
      <c r="O29" t="s">
        <v>113</v>
      </c>
      <c r="P29">
        <v>46</v>
      </c>
      <c r="Q29">
        <v>50</v>
      </c>
      <c r="R29" t="s">
        <v>114</v>
      </c>
      <c r="S29">
        <v>4</v>
      </c>
      <c r="T29">
        <v>11.4677312450003</v>
      </c>
      <c r="U29">
        <v>46</v>
      </c>
      <c r="V29">
        <v>-1</v>
      </c>
      <c r="W29">
        <v>-1</v>
      </c>
      <c r="X29">
        <v>0</v>
      </c>
    </row>
    <row r="30" spans="1:24" x14ac:dyDescent="0.25">
      <c r="A30">
        <v>29</v>
      </c>
      <c r="B30">
        <v>86400.255258798599</v>
      </c>
      <c r="E30">
        <v>116.93431019783</v>
      </c>
      <c r="F30" t="s">
        <v>115</v>
      </c>
      <c r="G30">
        <v>47</v>
      </c>
      <c r="H30">
        <v>448.17441725730799</v>
      </c>
      <c r="I30" t="s">
        <v>116</v>
      </c>
      <c r="J30">
        <v>47</v>
      </c>
      <c r="N30">
        <v>5.5742263793945304E-3</v>
      </c>
      <c r="O30" t="s">
        <v>116</v>
      </c>
      <c r="P30">
        <v>47</v>
      </c>
      <c r="Q30">
        <v>50</v>
      </c>
      <c r="R30" t="s">
        <v>117</v>
      </c>
      <c r="S30">
        <v>3</v>
      </c>
      <c r="T30">
        <v>44.995576672999903</v>
      </c>
      <c r="U30">
        <v>47</v>
      </c>
      <c r="V30">
        <v>0</v>
      </c>
      <c r="W30">
        <v>0</v>
      </c>
      <c r="X30">
        <v>0</v>
      </c>
    </row>
    <row r="31" spans="1:24" x14ac:dyDescent="0.25">
      <c r="A31">
        <v>30</v>
      </c>
      <c r="B31">
        <v>86400.260275602297</v>
      </c>
      <c r="E31">
        <v>155.38067221641501</v>
      </c>
      <c r="F31" t="s">
        <v>118</v>
      </c>
      <c r="G31">
        <v>44</v>
      </c>
      <c r="H31">
        <v>761.49398493766705</v>
      </c>
      <c r="I31" t="s">
        <v>118</v>
      </c>
      <c r="J31">
        <v>44</v>
      </c>
      <c r="N31">
        <v>6.0241222381591797E-3</v>
      </c>
      <c r="O31" t="s">
        <v>118</v>
      </c>
      <c r="P31">
        <v>44</v>
      </c>
      <c r="Q31">
        <v>50</v>
      </c>
      <c r="R31" t="s">
        <v>119</v>
      </c>
      <c r="S31">
        <v>6</v>
      </c>
      <c r="T31">
        <v>15.437240094000099</v>
      </c>
      <c r="U31">
        <v>44</v>
      </c>
      <c r="V31">
        <v>0</v>
      </c>
      <c r="W31">
        <v>0</v>
      </c>
      <c r="X31">
        <v>0</v>
      </c>
    </row>
    <row r="32" spans="1:24" x14ac:dyDescent="0.25">
      <c r="A32">
        <v>31</v>
      </c>
      <c r="E32">
        <v>636.51029920578003</v>
      </c>
      <c r="F32" t="s">
        <v>120</v>
      </c>
      <c r="G32">
        <v>71</v>
      </c>
      <c r="H32">
        <v>829.766471147537</v>
      </c>
      <c r="N32">
        <v>7.2510242462158203E-3</v>
      </c>
      <c r="O32" t="s">
        <v>120</v>
      </c>
      <c r="P32">
        <v>71</v>
      </c>
      <c r="Q32">
        <v>75</v>
      </c>
      <c r="R32" t="s">
        <v>121</v>
      </c>
      <c r="S32">
        <v>4</v>
      </c>
      <c r="T32">
        <v>79.297554165999799</v>
      </c>
      <c r="U32">
        <v>71</v>
      </c>
      <c r="V32">
        <v>0</v>
      </c>
      <c r="X32">
        <v>0</v>
      </c>
    </row>
    <row r="33" spans="1:24" x14ac:dyDescent="0.25">
      <c r="A33">
        <v>32</v>
      </c>
      <c r="E33">
        <v>801.98344182968106</v>
      </c>
      <c r="F33" t="s">
        <v>122</v>
      </c>
      <c r="G33">
        <v>71</v>
      </c>
      <c r="H33">
        <v>990.50533342361405</v>
      </c>
      <c r="N33">
        <v>7.1249008178710903E-3</v>
      </c>
      <c r="O33" t="s">
        <v>122</v>
      </c>
      <c r="P33">
        <v>71</v>
      </c>
      <c r="Q33">
        <v>75</v>
      </c>
      <c r="R33" t="s">
        <v>123</v>
      </c>
      <c r="S33">
        <v>4</v>
      </c>
      <c r="T33">
        <v>288.05232249800002</v>
      </c>
      <c r="U33">
        <v>71</v>
      </c>
      <c r="V33">
        <v>0</v>
      </c>
      <c r="X33">
        <v>0</v>
      </c>
    </row>
    <row r="34" spans="1:24" x14ac:dyDescent="0.25">
      <c r="A34">
        <v>33</v>
      </c>
      <c r="E34">
        <v>862.76423358917202</v>
      </c>
      <c r="F34" t="s">
        <v>124</v>
      </c>
      <c r="G34">
        <v>72</v>
      </c>
      <c r="H34">
        <v>1056.46148824691</v>
      </c>
      <c r="N34">
        <v>7.4980258941650304E-3</v>
      </c>
      <c r="O34" t="s">
        <v>125</v>
      </c>
      <c r="P34">
        <v>71</v>
      </c>
      <c r="Q34">
        <v>75</v>
      </c>
      <c r="R34" t="s">
        <v>126</v>
      </c>
      <c r="S34">
        <v>3</v>
      </c>
      <c r="T34">
        <v>614.91762200799894</v>
      </c>
      <c r="U34">
        <v>72</v>
      </c>
      <c r="V34">
        <v>0</v>
      </c>
      <c r="X34">
        <v>1</v>
      </c>
    </row>
    <row r="35" spans="1:24" x14ac:dyDescent="0.25">
      <c r="A35">
        <v>34</v>
      </c>
      <c r="E35">
        <v>797.57793855667103</v>
      </c>
      <c r="F35" t="s">
        <v>127</v>
      </c>
      <c r="G35">
        <v>74</v>
      </c>
      <c r="H35">
        <v>997.39090871810902</v>
      </c>
      <c r="N35">
        <v>7.43985176086425E-3</v>
      </c>
      <c r="O35" t="s">
        <v>128</v>
      </c>
      <c r="P35">
        <v>74</v>
      </c>
      <c r="Q35">
        <v>75</v>
      </c>
      <c r="R35" t="s">
        <v>129</v>
      </c>
      <c r="S35">
        <v>1</v>
      </c>
      <c r="T35">
        <v>218.680504576999</v>
      </c>
      <c r="U35">
        <v>74</v>
      </c>
      <c r="V35">
        <v>0</v>
      </c>
      <c r="X35">
        <v>0</v>
      </c>
    </row>
    <row r="36" spans="1:24" x14ac:dyDescent="0.25">
      <c r="A36">
        <v>35</v>
      </c>
      <c r="E36">
        <v>737.52451467514004</v>
      </c>
      <c r="F36" t="s">
        <v>130</v>
      </c>
      <c r="G36">
        <v>71</v>
      </c>
      <c r="H36">
        <v>947.693143606185</v>
      </c>
      <c r="N36">
        <v>7.4191093444824201E-3</v>
      </c>
      <c r="O36" t="s">
        <v>130</v>
      </c>
      <c r="P36">
        <v>71</v>
      </c>
      <c r="Q36">
        <v>75</v>
      </c>
      <c r="R36" t="s">
        <v>131</v>
      </c>
      <c r="S36">
        <v>4</v>
      </c>
      <c r="T36">
        <v>192.85136975399899</v>
      </c>
      <c r="U36">
        <v>71</v>
      </c>
      <c r="V36">
        <v>0</v>
      </c>
      <c r="X36">
        <v>0</v>
      </c>
    </row>
    <row r="37" spans="1:24" x14ac:dyDescent="0.25">
      <c r="A37">
        <v>36</v>
      </c>
      <c r="E37">
        <v>12748.104264736099</v>
      </c>
      <c r="F37" t="s">
        <v>132</v>
      </c>
      <c r="G37">
        <v>65</v>
      </c>
      <c r="H37">
        <v>1018.60106301307</v>
      </c>
      <c r="N37">
        <v>7.6315402984619097E-3</v>
      </c>
      <c r="O37" t="s">
        <v>133</v>
      </c>
      <c r="P37">
        <v>59</v>
      </c>
      <c r="Q37">
        <v>75</v>
      </c>
      <c r="R37" t="s">
        <v>134</v>
      </c>
      <c r="S37">
        <v>10</v>
      </c>
      <c r="T37">
        <v>17.534093567999602</v>
      </c>
      <c r="U37">
        <v>65</v>
      </c>
      <c r="V37">
        <v>0</v>
      </c>
      <c r="X37">
        <v>6</v>
      </c>
    </row>
    <row r="38" spans="1:24" x14ac:dyDescent="0.25">
      <c r="A38">
        <v>37</v>
      </c>
      <c r="E38">
        <v>859.79220128059296</v>
      </c>
      <c r="F38" t="s">
        <v>135</v>
      </c>
      <c r="G38">
        <v>69</v>
      </c>
      <c r="H38">
        <v>1054.3817796707101</v>
      </c>
      <c r="N38">
        <v>6.9537162780761701E-3</v>
      </c>
      <c r="O38" t="s">
        <v>136</v>
      </c>
      <c r="P38">
        <v>65</v>
      </c>
      <c r="Q38">
        <v>75</v>
      </c>
      <c r="R38" t="s">
        <v>137</v>
      </c>
      <c r="S38">
        <v>6</v>
      </c>
      <c r="T38">
        <v>258.266375434</v>
      </c>
      <c r="U38">
        <v>69</v>
      </c>
      <c r="V38">
        <v>0</v>
      </c>
      <c r="X38">
        <v>4</v>
      </c>
    </row>
    <row r="39" spans="1:24" x14ac:dyDescent="0.25">
      <c r="A39">
        <v>38</v>
      </c>
      <c r="E39">
        <v>966.47409462928704</v>
      </c>
      <c r="F39" t="s">
        <v>138</v>
      </c>
      <c r="G39">
        <v>73</v>
      </c>
      <c r="H39">
        <v>1181.8140380382499</v>
      </c>
      <c r="N39">
        <v>6.7458152770995998E-3</v>
      </c>
      <c r="O39" t="s">
        <v>139</v>
      </c>
      <c r="P39">
        <v>72</v>
      </c>
      <c r="Q39">
        <v>75</v>
      </c>
      <c r="R39" t="s">
        <v>140</v>
      </c>
      <c r="S39">
        <v>2</v>
      </c>
      <c r="T39">
        <v>517.463529265999</v>
      </c>
      <c r="U39">
        <v>73</v>
      </c>
      <c r="V39">
        <v>0</v>
      </c>
      <c r="X39">
        <v>1</v>
      </c>
    </row>
    <row r="40" spans="1:24" x14ac:dyDescent="0.25">
      <c r="A40">
        <v>39</v>
      </c>
      <c r="E40">
        <v>499.41710233688298</v>
      </c>
      <c r="F40" t="s">
        <v>141</v>
      </c>
      <c r="G40">
        <v>69</v>
      </c>
      <c r="H40">
        <v>660.48236823081902</v>
      </c>
      <c r="N40">
        <v>7.1530342102050703E-3</v>
      </c>
      <c r="O40" t="s">
        <v>142</v>
      </c>
      <c r="P40">
        <v>68</v>
      </c>
      <c r="Q40">
        <v>75</v>
      </c>
      <c r="R40" t="s">
        <v>143</v>
      </c>
      <c r="S40">
        <v>6</v>
      </c>
      <c r="T40">
        <v>54.713470681000203</v>
      </c>
      <c r="U40">
        <v>69</v>
      </c>
      <c r="V40">
        <v>0</v>
      </c>
      <c r="X40">
        <v>1</v>
      </c>
    </row>
    <row r="41" spans="1:24" x14ac:dyDescent="0.25">
      <c r="A41">
        <v>40</v>
      </c>
      <c r="E41">
        <v>1306.3808846473601</v>
      </c>
      <c r="F41" t="s">
        <v>144</v>
      </c>
      <c r="G41">
        <v>69</v>
      </c>
      <c r="H41">
        <v>895.20780110359101</v>
      </c>
      <c r="N41">
        <v>7.6365470886230399E-3</v>
      </c>
      <c r="O41" t="s">
        <v>145</v>
      </c>
      <c r="P41">
        <v>62</v>
      </c>
      <c r="Q41">
        <v>75</v>
      </c>
      <c r="R41" t="s">
        <v>146</v>
      </c>
      <c r="S41">
        <v>7</v>
      </c>
      <c r="T41">
        <v>52.950518464000197</v>
      </c>
      <c r="U41">
        <v>68</v>
      </c>
      <c r="V41">
        <v>-1</v>
      </c>
      <c r="X41">
        <v>6</v>
      </c>
    </row>
    <row r="42" spans="1:24" x14ac:dyDescent="0.25">
      <c r="A42">
        <v>41</v>
      </c>
      <c r="E42">
        <v>3565.7875645160598</v>
      </c>
      <c r="F42" t="s">
        <v>147</v>
      </c>
      <c r="G42">
        <v>99</v>
      </c>
      <c r="H42">
        <v>4040.33326697349</v>
      </c>
      <c r="N42">
        <v>9.1185569763183594E-3</v>
      </c>
      <c r="O42" t="s">
        <v>148</v>
      </c>
      <c r="P42">
        <v>97</v>
      </c>
      <c r="Q42">
        <v>100</v>
      </c>
      <c r="R42" t="s">
        <v>149</v>
      </c>
      <c r="S42">
        <v>1</v>
      </c>
      <c r="T42">
        <v>2203.6678596809902</v>
      </c>
      <c r="U42">
        <v>99</v>
      </c>
      <c r="V42">
        <v>0</v>
      </c>
      <c r="X42">
        <v>2</v>
      </c>
    </row>
    <row r="43" spans="1:24" x14ac:dyDescent="0.25">
      <c r="A43">
        <v>42</v>
      </c>
      <c r="E43">
        <v>2059.7729022502899</v>
      </c>
      <c r="F43" t="s">
        <v>150</v>
      </c>
      <c r="G43">
        <v>97</v>
      </c>
      <c r="H43">
        <v>3022.9244031906101</v>
      </c>
      <c r="N43">
        <v>8.72802734375E-3</v>
      </c>
      <c r="O43" t="s">
        <v>150</v>
      </c>
      <c r="P43">
        <v>97</v>
      </c>
      <c r="Q43">
        <v>100</v>
      </c>
      <c r="R43" t="s">
        <v>151</v>
      </c>
      <c r="S43">
        <v>3</v>
      </c>
      <c r="T43">
        <v>961.16305170199996</v>
      </c>
      <c r="U43">
        <v>97</v>
      </c>
      <c r="V43">
        <v>0</v>
      </c>
      <c r="X43">
        <v>0</v>
      </c>
    </row>
    <row r="44" spans="1:24" x14ac:dyDescent="0.25">
      <c r="A44">
        <v>43</v>
      </c>
      <c r="E44">
        <v>2591.8490533828699</v>
      </c>
      <c r="F44" t="s">
        <v>152</v>
      </c>
      <c r="G44">
        <v>96</v>
      </c>
      <c r="H44">
        <v>3170.6341514587398</v>
      </c>
      <c r="N44">
        <v>8.9905261993408203E-3</v>
      </c>
      <c r="O44" t="s">
        <v>153</v>
      </c>
      <c r="P44">
        <v>95</v>
      </c>
      <c r="Q44">
        <v>100</v>
      </c>
      <c r="R44" t="s">
        <v>154</v>
      </c>
      <c r="S44">
        <v>4</v>
      </c>
      <c r="T44">
        <v>873.47319846000005</v>
      </c>
      <c r="U44">
        <v>96</v>
      </c>
      <c r="V44">
        <v>0</v>
      </c>
      <c r="X44">
        <v>1</v>
      </c>
    </row>
    <row r="45" spans="1:24" x14ac:dyDescent="0.25">
      <c r="A45">
        <v>44</v>
      </c>
      <c r="E45">
        <v>3300.5156140327399</v>
      </c>
      <c r="F45" t="s">
        <v>155</v>
      </c>
      <c r="G45">
        <v>98</v>
      </c>
      <c r="H45">
        <v>3691.8290073871599</v>
      </c>
      <c r="N45">
        <v>8.6023807525634696E-3</v>
      </c>
      <c r="O45" t="s">
        <v>156</v>
      </c>
      <c r="P45">
        <v>97</v>
      </c>
      <c r="Q45">
        <v>100</v>
      </c>
      <c r="R45" t="s">
        <v>157</v>
      </c>
      <c r="S45">
        <v>2</v>
      </c>
      <c r="T45">
        <v>2142.9763260339901</v>
      </c>
      <c r="U45">
        <v>98</v>
      </c>
      <c r="V45">
        <v>0</v>
      </c>
      <c r="X45">
        <v>1</v>
      </c>
    </row>
    <row r="46" spans="1:24" x14ac:dyDescent="0.25">
      <c r="A46">
        <v>45</v>
      </c>
      <c r="E46">
        <v>2714.5142743587398</v>
      </c>
      <c r="F46" t="s">
        <v>158</v>
      </c>
      <c r="G46">
        <v>95</v>
      </c>
      <c r="H46">
        <v>3101.1883974075299</v>
      </c>
      <c r="N46">
        <v>8.9101791381835903E-3</v>
      </c>
      <c r="O46" t="s">
        <v>159</v>
      </c>
      <c r="P46">
        <v>94</v>
      </c>
      <c r="Q46">
        <v>100</v>
      </c>
      <c r="R46" t="s">
        <v>160</v>
      </c>
      <c r="S46">
        <v>5</v>
      </c>
      <c r="T46">
        <v>729.96692357899803</v>
      </c>
      <c r="U46">
        <v>95</v>
      </c>
      <c r="V46" s="1">
        <v>-1.4210854715202001E-14</v>
      </c>
      <c r="X46">
        <v>1</v>
      </c>
    </row>
    <row r="47" spans="1:24" x14ac:dyDescent="0.25">
      <c r="A47">
        <v>46</v>
      </c>
      <c r="E47">
        <v>3459.2452313899898</v>
      </c>
      <c r="F47" t="s">
        <v>161</v>
      </c>
      <c r="G47">
        <v>94</v>
      </c>
      <c r="H47">
        <v>3352.1920790672302</v>
      </c>
      <c r="N47">
        <v>8.9771747589111293E-3</v>
      </c>
      <c r="O47" t="s">
        <v>162</v>
      </c>
      <c r="P47">
        <v>92</v>
      </c>
      <c r="Q47">
        <v>100</v>
      </c>
      <c r="R47" t="s">
        <v>163</v>
      </c>
      <c r="S47">
        <v>7</v>
      </c>
      <c r="T47">
        <v>320.48563197000101</v>
      </c>
      <c r="U47">
        <v>93</v>
      </c>
      <c r="V47">
        <v>-1</v>
      </c>
      <c r="X47">
        <v>1</v>
      </c>
    </row>
    <row r="48" spans="1:24" x14ac:dyDescent="0.25">
      <c r="A48">
        <v>47</v>
      </c>
      <c r="E48">
        <v>2488.1506261825498</v>
      </c>
      <c r="F48" t="s">
        <v>164</v>
      </c>
      <c r="G48">
        <v>97</v>
      </c>
      <c r="H48">
        <v>3088.3284564018199</v>
      </c>
      <c r="N48">
        <v>9.4974040985107405E-3</v>
      </c>
      <c r="O48" t="s">
        <v>165</v>
      </c>
      <c r="P48">
        <v>95</v>
      </c>
      <c r="Q48">
        <v>100</v>
      </c>
      <c r="R48" t="s">
        <v>166</v>
      </c>
      <c r="S48">
        <v>3</v>
      </c>
      <c r="T48">
        <v>388.725798064</v>
      </c>
      <c r="U48">
        <v>97</v>
      </c>
      <c r="V48">
        <v>0</v>
      </c>
      <c r="X48">
        <v>2</v>
      </c>
    </row>
    <row r="49" spans="1:24" x14ac:dyDescent="0.25">
      <c r="A49">
        <v>48</v>
      </c>
      <c r="E49">
        <v>6326.9702832698804</v>
      </c>
      <c r="F49" t="s">
        <v>167</v>
      </c>
      <c r="G49">
        <v>89</v>
      </c>
      <c r="H49">
        <v>3379.9579806327802</v>
      </c>
      <c r="N49">
        <v>9.0699195861816406E-3</v>
      </c>
      <c r="O49" t="s">
        <v>168</v>
      </c>
      <c r="P49">
        <v>86</v>
      </c>
      <c r="Q49">
        <v>100</v>
      </c>
      <c r="R49" t="s">
        <v>169</v>
      </c>
      <c r="S49">
        <v>11</v>
      </c>
      <c r="T49">
        <v>8.93906583900025</v>
      </c>
      <c r="U49">
        <v>89</v>
      </c>
      <c r="V49">
        <v>0</v>
      </c>
      <c r="X49">
        <v>3</v>
      </c>
    </row>
    <row r="50" spans="1:24" x14ac:dyDescent="0.25">
      <c r="A50">
        <v>49</v>
      </c>
      <c r="E50">
        <v>2521.6155614852901</v>
      </c>
      <c r="F50" t="s">
        <v>170</v>
      </c>
      <c r="G50">
        <v>98</v>
      </c>
      <c r="H50">
        <v>3149.4037983417502</v>
      </c>
      <c r="N50">
        <v>8.8615417480468698E-3</v>
      </c>
      <c r="O50" t="s">
        <v>171</v>
      </c>
      <c r="P50">
        <v>97</v>
      </c>
      <c r="Q50">
        <v>100</v>
      </c>
      <c r="R50" t="s">
        <v>172</v>
      </c>
      <c r="S50">
        <v>2</v>
      </c>
      <c r="T50">
        <v>861.06171532099802</v>
      </c>
      <c r="U50">
        <v>98</v>
      </c>
      <c r="V50">
        <v>0</v>
      </c>
      <c r="X50">
        <v>1</v>
      </c>
    </row>
    <row r="51" spans="1:24" x14ac:dyDescent="0.25">
      <c r="A51">
        <v>50</v>
      </c>
      <c r="E51">
        <v>2685.71052122116</v>
      </c>
      <c r="F51" t="s">
        <v>173</v>
      </c>
      <c r="G51">
        <v>96</v>
      </c>
      <c r="H51">
        <v>3183.6753487586898</v>
      </c>
      <c r="N51">
        <v>8.8996887207031198E-3</v>
      </c>
      <c r="O51" t="s">
        <v>173</v>
      </c>
      <c r="P51">
        <v>96</v>
      </c>
      <c r="Q51">
        <v>100</v>
      </c>
      <c r="R51" t="s">
        <v>174</v>
      </c>
      <c r="S51">
        <v>4</v>
      </c>
      <c r="T51">
        <v>900.18653968899798</v>
      </c>
      <c r="U51">
        <v>96</v>
      </c>
      <c r="V51">
        <v>0</v>
      </c>
      <c r="X51">
        <v>0</v>
      </c>
    </row>
    <row r="52" spans="1:24" x14ac:dyDescent="0.25">
      <c r="A52">
        <v>51</v>
      </c>
      <c r="B52">
        <v>6.68661594390869E-2</v>
      </c>
      <c r="C52" t="s">
        <v>175</v>
      </c>
      <c r="D52">
        <v>11</v>
      </c>
      <c r="E52">
        <v>9.0063676834106392</v>
      </c>
      <c r="F52" t="s">
        <v>175</v>
      </c>
      <c r="G52">
        <v>11</v>
      </c>
      <c r="H52">
        <v>15.144894361495901</v>
      </c>
      <c r="I52" t="s">
        <v>176</v>
      </c>
      <c r="J52">
        <v>11</v>
      </c>
      <c r="K52">
        <v>26759.819811105699</v>
      </c>
      <c r="L52" t="s">
        <v>177</v>
      </c>
      <c r="M52">
        <v>11</v>
      </c>
      <c r="N52">
        <v>4.2831897735595703E-3</v>
      </c>
      <c r="O52" t="s">
        <v>178</v>
      </c>
      <c r="P52">
        <v>10</v>
      </c>
      <c r="Q52">
        <v>20</v>
      </c>
      <c r="R52" t="s">
        <v>179</v>
      </c>
      <c r="S52">
        <v>9</v>
      </c>
      <c r="T52">
        <v>6.8979874999058596E-2</v>
      </c>
      <c r="U52">
        <v>11</v>
      </c>
      <c r="V52">
        <v>0</v>
      </c>
      <c r="W52">
        <v>0</v>
      </c>
      <c r="X52">
        <v>1</v>
      </c>
    </row>
    <row r="53" spans="1:24" x14ac:dyDescent="0.25">
      <c r="A53">
        <v>52</v>
      </c>
      <c r="B53">
        <v>5.84690570831298E-2</v>
      </c>
      <c r="C53" t="s">
        <v>180</v>
      </c>
      <c r="D53">
        <v>15</v>
      </c>
      <c r="E53">
        <v>5.6918811798095703</v>
      </c>
      <c r="F53" t="s">
        <v>181</v>
      </c>
      <c r="G53">
        <v>15</v>
      </c>
      <c r="H53">
        <v>23.852615594863799</v>
      </c>
      <c r="I53" t="s">
        <v>182</v>
      </c>
      <c r="J53">
        <v>15</v>
      </c>
      <c r="K53">
        <v>86400.179282665194</v>
      </c>
      <c r="N53">
        <v>3.7240982055664002E-3</v>
      </c>
      <c r="O53" t="s">
        <v>183</v>
      </c>
      <c r="P53">
        <v>13</v>
      </c>
      <c r="Q53">
        <v>20</v>
      </c>
      <c r="R53" t="s">
        <v>184</v>
      </c>
      <c r="S53">
        <v>5</v>
      </c>
      <c r="T53">
        <v>0.30992430599872001</v>
      </c>
      <c r="U53">
        <v>15</v>
      </c>
      <c r="V53">
        <v>0</v>
      </c>
      <c r="W53">
        <v>0</v>
      </c>
      <c r="X53">
        <v>2</v>
      </c>
    </row>
    <row r="54" spans="1:24" x14ac:dyDescent="0.25">
      <c r="A54">
        <v>53</v>
      </c>
      <c r="B54">
        <v>2.0714759826660101E-2</v>
      </c>
      <c r="C54" t="s">
        <v>185</v>
      </c>
      <c r="D54">
        <v>15</v>
      </c>
      <c r="E54">
        <v>3.1399140357971098</v>
      </c>
      <c r="F54" t="s">
        <v>185</v>
      </c>
      <c r="G54">
        <v>15</v>
      </c>
      <c r="H54">
        <v>7.6340012550354004</v>
      </c>
      <c r="I54" t="s">
        <v>185</v>
      </c>
      <c r="J54">
        <v>15</v>
      </c>
      <c r="K54">
        <v>94.903298854827796</v>
      </c>
      <c r="L54" t="s">
        <v>186</v>
      </c>
      <c r="M54">
        <v>15</v>
      </c>
      <c r="N54">
        <v>3.6454200744628902E-3</v>
      </c>
      <c r="O54" t="s">
        <v>187</v>
      </c>
      <c r="P54">
        <v>14</v>
      </c>
      <c r="Q54">
        <v>20</v>
      </c>
      <c r="R54" t="s">
        <v>188</v>
      </c>
      <c r="S54">
        <v>5</v>
      </c>
      <c r="T54">
        <v>8.3373138000751995E-2</v>
      </c>
      <c r="U54">
        <v>15</v>
      </c>
      <c r="V54">
        <v>0</v>
      </c>
      <c r="W54">
        <v>0</v>
      </c>
      <c r="X54">
        <v>1</v>
      </c>
    </row>
    <row r="55" spans="1:24" x14ac:dyDescent="0.25">
      <c r="A55">
        <v>54</v>
      </c>
      <c r="B55">
        <v>3.0108928680419901E-2</v>
      </c>
      <c r="C55" t="s">
        <v>189</v>
      </c>
      <c r="D55">
        <v>15</v>
      </c>
      <c r="E55">
        <v>3.1323459148406898</v>
      </c>
      <c r="F55" t="s">
        <v>189</v>
      </c>
      <c r="G55">
        <v>15</v>
      </c>
      <c r="H55">
        <v>6.0626444816589302</v>
      </c>
      <c r="I55" t="s">
        <v>189</v>
      </c>
      <c r="J55">
        <v>15</v>
      </c>
      <c r="K55">
        <v>456.62761378288201</v>
      </c>
      <c r="L55" t="s">
        <v>190</v>
      </c>
      <c r="M55">
        <v>15</v>
      </c>
      <c r="N55">
        <v>3.5321712493896402E-3</v>
      </c>
      <c r="O55" t="s">
        <v>189</v>
      </c>
      <c r="P55">
        <v>15</v>
      </c>
      <c r="Q55">
        <v>20</v>
      </c>
      <c r="R55" t="s">
        <v>191</v>
      </c>
      <c r="S55">
        <v>5</v>
      </c>
      <c r="T55">
        <v>0.141709698997146</v>
      </c>
      <c r="U55">
        <v>15</v>
      </c>
      <c r="V55">
        <v>0</v>
      </c>
      <c r="W55">
        <v>0</v>
      </c>
      <c r="X55">
        <v>0</v>
      </c>
    </row>
    <row r="56" spans="1:24" x14ac:dyDescent="0.25">
      <c r="A56">
        <v>55</v>
      </c>
      <c r="B56">
        <v>6.2480211257934501E-2</v>
      </c>
      <c r="C56" t="s">
        <v>192</v>
      </c>
      <c r="D56">
        <v>15</v>
      </c>
      <c r="E56">
        <v>2.9986371994018501</v>
      </c>
      <c r="F56" t="s">
        <v>192</v>
      </c>
      <c r="G56">
        <v>15</v>
      </c>
      <c r="H56">
        <v>6.3127932548522896</v>
      </c>
      <c r="I56" t="s">
        <v>192</v>
      </c>
      <c r="J56">
        <v>15</v>
      </c>
      <c r="K56">
        <v>1248.4967966079701</v>
      </c>
      <c r="L56" t="s">
        <v>193</v>
      </c>
      <c r="M56">
        <v>15</v>
      </c>
      <c r="N56">
        <v>3.5791397094726502E-3</v>
      </c>
      <c r="O56" t="s">
        <v>192</v>
      </c>
      <c r="P56">
        <v>15</v>
      </c>
      <c r="Q56">
        <v>20</v>
      </c>
      <c r="R56" t="s">
        <v>194</v>
      </c>
      <c r="S56">
        <v>5</v>
      </c>
      <c r="T56">
        <v>0.115620651999051</v>
      </c>
      <c r="U56">
        <v>15</v>
      </c>
      <c r="V56">
        <v>0</v>
      </c>
      <c r="W56">
        <v>0</v>
      </c>
      <c r="X56">
        <v>0</v>
      </c>
    </row>
    <row r="57" spans="1:24" x14ac:dyDescent="0.25">
      <c r="A57">
        <v>56</v>
      </c>
      <c r="B57">
        <v>2.21915245056152E-2</v>
      </c>
      <c r="C57" t="s">
        <v>195</v>
      </c>
      <c r="D57">
        <v>12</v>
      </c>
      <c r="E57">
        <v>5.0207715034484801</v>
      </c>
      <c r="F57" t="s">
        <v>195</v>
      </c>
      <c r="G57">
        <v>12</v>
      </c>
      <c r="H57">
        <v>9.9536929130554199</v>
      </c>
      <c r="I57" t="s">
        <v>195</v>
      </c>
      <c r="J57">
        <v>12</v>
      </c>
      <c r="K57">
        <v>1258.4213848114</v>
      </c>
      <c r="L57" t="s">
        <v>196</v>
      </c>
      <c r="M57">
        <v>12</v>
      </c>
      <c r="N57">
        <v>3.4809112548828099E-3</v>
      </c>
      <c r="O57" t="s">
        <v>197</v>
      </c>
      <c r="P57">
        <v>8</v>
      </c>
      <c r="Q57">
        <v>20</v>
      </c>
      <c r="R57" t="s">
        <v>198</v>
      </c>
      <c r="S57">
        <v>8</v>
      </c>
      <c r="T57">
        <v>0.11564002800150699</v>
      </c>
      <c r="U57">
        <v>12</v>
      </c>
      <c r="V57">
        <v>0</v>
      </c>
      <c r="W57">
        <v>0</v>
      </c>
      <c r="X57">
        <v>4</v>
      </c>
    </row>
    <row r="58" spans="1:24" x14ac:dyDescent="0.25">
      <c r="A58">
        <v>57</v>
      </c>
      <c r="B58">
        <v>0.146340131759643</v>
      </c>
      <c r="C58" t="s">
        <v>199</v>
      </c>
      <c r="D58">
        <v>16</v>
      </c>
      <c r="E58">
        <v>6.3730485439300502</v>
      </c>
      <c r="F58" t="s">
        <v>200</v>
      </c>
      <c r="G58">
        <v>16</v>
      </c>
      <c r="H58">
        <v>13.852207660675001</v>
      </c>
      <c r="I58" t="s">
        <v>200</v>
      </c>
      <c r="J58">
        <v>16</v>
      </c>
      <c r="K58">
        <v>86400.153110742496</v>
      </c>
      <c r="N58">
        <v>3.5440921783447201E-3</v>
      </c>
      <c r="O58" t="s">
        <v>200</v>
      </c>
      <c r="P58">
        <v>16</v>
      </c>
      <c r="Q58">
        <v>20</v>
      </c>
      <c r="R58" t="s">
        <v>201</v>
      </c>
      <c r="S58">
        <v>4</v>
      </c>
      <c r="T58">
        <v>0.34710363799968003</v>
      </c>
      <c r="U58">
        <v>16</v>
      </c>
      <c r="V58">
        <v>0</v>
      </c>
      <c r="W58">
        <v>0</v>
      </c>
      <c r="X58">
        <v>0</v>
      </c>
    </row>
    <row r="59" spans="1:24" x14ac:dyDescent="0.25">
      <c r="A59">
        <v>58</v>
      </c>
      <c r="B59">
        <v>3.1080007553100499E-2</v>
      </c>
      <c r="C59" t="s">
        <v>202</v>
      </c>
      <c r="D59">
        <v>14</v>
      </c>
      <c r="E59">
        <v>3.35055232048034</v>
      </c>
      <c r="F59" t="s">
        <v>203</v>
      </c>
      <c r="G59">
        <v>14</v>
      </c>
      <c r="H59">
        <v>9.3668909072875906</v>
      </c>
      <c r="I59" t="s">
        <v>203</v>
      </c>
      <c r="J59">
        <v>14</v>
      </c>
      <c r="K59">
        <v>86400.115000963197</v>
      </c>
      <c r="N59">
        <v>3.5631656646728498E-3</v>
      </c>
      <c r="O59" t="s">
        <v>203</v>
      </c>
      <c r="P59">
        <v>14</v>
      </c>
      <c r="Q59">
        <v>20</v>
      </c>
      <c r="R59" t="s">
        <v>204</v>
      </c>
      <c r="S59">
        <v>6</v>
      </c>
      <c r="T59">
        <v>0.13160325300122999</v>
      </c>
      <c r="U59">
        <v>14</v>
      </c>
      <c r="V59">
        <v>0</v>
      </c>
      <c r="W59">
        <v>0</v>
      </c>
      <c r="X59">
        <v>0</v>
      </c>
    </row>
    <row r="60" spans="1:24" x14ac:dyDescent="0.25">
      <c r="A60">
        <v>59</v>
      </c>
      <c r="B60">
        <v>0.38172149658203097</v>
      </c>
      <c r="C60" t="s">
        <v>205</v>
      </c>
      <c r="D60">
        <v>18</v>
      </c>
      <c r="E60">
        <v>5.1801760196685702</v>
      </c>
      <c r="F60" t="s">
        <v>205</v>
      </c>
      <c r="G60">
        <v>18</v>
      </c>
      <c r="H60">
        <v>9.8184607028961093</v>
      </c>
      <c r="I60" t="s">
        <v>205</v>
      </c>
      <c r="J60">
        <v>18</v>
      </c>
      <c r="K60">
        <v>2838.11518716812</v>
      </c>
      <c r="L60" t="s">
        <v>206</v>
      </c>
      <c r="M60">
        <v>18</v>
      </c>
      <c r="N60">
        <v>3.4942626953125E-3</v>
      </c>
      <c r="O60" t="s">
        <v>207</v>
      </c>
      <c r="P60">
        <v>17</v>
      </c>
      <c r="Q60">
        <v>20</v>
      </c>
      <c r="R60" t="s">
        <v>208</v>
      </c>
      <c r="S60">
        <v>3</v>
      </c>
      <c r="T60">
        <v>0.28306325700032098</v>
      </c>
      <c r="U60">
        <v>17</v>
      </c>
      <c r="V60">
        <v>-1</v>
      </c>
      <c r="W60">
        <v>-1</v>
      </c>
      <c r="X60">
        <v>0</v>
      </c>
    </row>
    <row r="61" spans="1:24" x14ac:dyDescent="0.25">
      <c r="A61">
        <v>60</v>
      </c>
      <c r="B61">
        <v>4.34470176696777E-2</v>
      </c>
      <c r="C61" t="s">
        <v>209</v>
      </c>
      <c r="D61">
        <v>16</v>
      </c>
      <c r="E61">
        <v>4.0671200752258301</v>
      </c>
      <c r="F61" t="s">
        <v>209</v>
      </c>
      <c r="G61">
        <v>16</v>
      </c>
      <c r="H61">
        <v>12.3923120498657</v>
      </c>
      <c r="I61" t="s">
        <v>209</v>
      </c>
      <c r="J61">
        <v>16</v>
      </c>
      <c r="K61">
        <v>86400.285001039505</v>
      </c>
      <c r="N61">
        <v>3.8189888000488199E-3</v>
      </c>
      <c r="O61" t="s">
        <v>209</v>
      </c>
      <c r="P61">
        <v>16</v>
      </c>
      <c r="Q61">
        <v>20</v>
      </c>
      <c r="R61" t="s">
        <v>210</v>
      </c>
      <c r="S61">
        <v>4</v>
      </c>
      <c r="T61">
        <v>0.119071297998743</v>
      </c>
      <c r="U61">
        <v>16</v>
      </c>
      <c r="V61">
        <v>0</v>
      </c>
      <c r="W61">
        <v>0</v>
      </c>
      <c r="X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97C0-C44F-4E5A-8C93-62AA08D3B86D}">
  <dimension ref="A1:G61"/>
  <sheetViews>
    <sheetView topLeftCell="C1" workbookViewId="0">
      <selection activeCell="G1" sqref="G1:G1048576"/>
    </sheetView>
  </sheetViews>
  <sheetFormatPr defaultRowHeight="15" x14ac:dyDescent="0.25"/>
  <cols>
    <col min="2" max="2" width="23.28515625" bestFit="1" customWidth="1"/>
    <col min="3" max="3" width="25.28515625" bestFit="1" customWidth="1"/>
    <col min="4" max="4" width="20.140625" bestFit="1" customWidth="1"/>
    <col min="5" max="5" width="29.42578125" bestFit="1" customWidth="1"/>
    <col min="6" max="6" width="19.140625" bestFit="1" customWidth="1"/>
    <col min="7" max="7" width="26.7109375" bestFit="1" customWidth="1"/>
  </cols>
  <sheetData>
    <row r="1" spans="1:7" x14ac:dyDescent="0.25">
      <c r="A1" t="s">
        <v>0</v>
      </c>
      <c r="B1" t="s">
        <v>2</v>
      </c>
      <c r="C1" t="s">
        <v>5</v>
      </c>
      <c r="D1" t="s">
        <v>8</v>
      </c>
      <c r="E1" t="s">
        <v>11</v>
      </c>
      <c r="F1" t="s">
        <v>14</v>
      </c>
      <c r="G1" t="s">
        <v>17</v>
      </c>
    </row>
    <row r="2" spans="1:7" x14ac:dyDescent="0.25">
      <c r="A2">
        <v>1</v>
      </c>
      <c r="B2" t="s">
        <v>24</v>
      </c>
      <c r="C2" t="s">
        <v>24</v>
      </c>
      <c r="D2" t="s">
        <v>25</v>
      </c>
      <c r="E2" t="s">
        <v>26</v>
      </c>
      <c r="F2" t="s">
        <v>24</v>
      </c>
      <c r="G2" t="s">
        <v>27</v>
      </c>
    </row>
    <row r="3" spans="1:7" x14ac:dyDescent="0.25">
      <c r="A3">
        <v>2</v>
      </c>
      <c r="B3" t="s">
        <v>28</v>
      </c>
      <c r="C3" t="s">
        <v>29</v>
      </c>
      <c r="D3" t="s">
        <v>29</v>
      </c>
      <c r="F3" t="s">
        <v>30</v>
      </c>
      <c r="G3" t="s">
        <v>31</v>
      </c>
    </row>
    <row r="4" spans="1:7" x14ac:dyDescent="0.25">
      <c r="A4">
        <v>3</v>
      </c>
      <c r="B4" t="s">
        <v>32</v>
      </c>
      <c r="C4" t="s">
        <v>32</v>
      </c>
      <c r="D4" t="s">
        <v>32</v>
      </c>
      <c r="E4" t="s">
        <v>32</v>
      </c>
      <c r="F4" t="s">
        <v>32</v>
      </c>
      <c r="G4" t="s">
        <v>33</v>
      </c>
    </row>
    <row r="5" spans="1:7" x14ac:dyDescent="0.25">
      <c r="A5">
        <v>4</v>
      </c>
      <c r="B5" t="s">
        <v>34</v>
      </c>
      <c r="C5" t="s">
        <v>34</v>
      </c>
      <c r="D5" t="s">
        <v>34</v>
      </c>
      <c r="E5" t="s">
        <v>35</v>
      </c>
      <c r="F5" t="s">
        <v>36</v>
      </c>
      <c r="G5" t="s">
        <v>37</v>
      </c>
    </row>
    <row r="6" spans="1:7" x14ac:dyDescent="0.25">
      <c r="A6">
        <v>5</v>
      </c>
      <c r="B6" t="s">
        <v>38</v>
      </c>
      <c r="C6" t="s">
        <v>38</v>
      </c>
      <c r="D6" t="s">
        <v>38</v>
      </c>
      <c r="E6" t="s">
        <v>39</v>
      </c>
      <c r="F6" t="s">
        <v>38</v>
      </c>
      <c r="G6" t="s">
        <v>40</v>
      </c>
    </row>
    <row r="7" spans="1:7" x14ac:dyDescent="0.25">
      <c r="A7">
        <v>6</v>
      </c>
      <c r="B7" t="s">
        <v>41</v>
      </c>
      <c r="C7" t="s">
        <v>41</v>
      </c>
      <c r="D7" t="s">
        <v>41</v>
      </c>
      <c r="F7" t="s">
        <v>41</v>
      </c>
      <c r="G7" t="s">
        <v>42</v>
      </c>
    </row>
    <row r="8" spans="1:7" x14ac:dyDescent="0.25">
      <c r="A8">
        <v>7</v>
      </c>
      <c r="B8" t="s">
        <v>43</v>
      </c>
      <c r="C8" t="s">
        <v>44</v>
      </c>
      <c r="D8" t="s">
        <v>45</v>
      </c>
      <c r="F8" t="s">
        <v>46</v>
      </c>
      <c r="G8" t="s">
        <v>47</v>
      </c>
    </row>
    <row r="9" spans="1:7" x14ac:dyDescent="0.25">
      <c r="A9">
        <v>8</v>
      </c>
      <c r="B9" t="s">
        <v>48</v>
      </c>
      <c r="C9" t="s">
        <v>49</v>
      </c>
      <c r="D9" t="s">
        <v>49</v>
      </c>
      <c r="F9" t="s">
        <v>49</v>
      </c>
      <c r="G9" t="s">
        <v>50</v>
      </c>
    </row>
    <row r="10" spans="1:7" x14ac:dyDescent="0.25">
      <c r="A10">
        <v>9</v>
      </c>
      <c r="B10" t="s">
        <v>51</v>
      </c>
      <c r="C10" t="s">
        <v>52</v>
      </c>
      <c r="D10" t="s">
        <v>53</v>
      </c>
      <c r="F10" t="s">
        <v>53</v>
      </c>
      <c r="G10" t="s">
        <v>54</v>
      </c>
    </row>
    <row r="11" spans="1:7" x14ac:dyDescent="0.25">
      <c r="A11">
        <v>10</v>
      </c>
      <c r="B11" t="s">
        <v>55</v>
      </c>
      <c r="C11" t="s">
        <v>56</v>
      </c>
      <c r="D11" t="s">
        <v>56</v>
      </c>
      <c r="F11" t="s">
        <v>57</v>
      </c>
      <c r="G11" t="s">
        <v>58</v>
      </c>
    </row>
    <row r="12" spans="1:7" x14ac:dyDescent="0.25">
      <c r="A12">
        <v>11</v>
      </c>
      <c r="B12" t="s">
        <v>59</v>
      </c>
      <c r="C12" t="s">
        <v>60</v>
      </c>
      <c r="D12" t="s">
        <v>61</v>
      </c>
      <c r="F12" t="s">
        <v>62</v>
      </c>
      <c r="G12" t="s">
        <v>63</v>
      </c>
    </row>
    <row r="13" spans="1:7" x14ac:dyDescent="0.25">
      <c r="A13">
        <v>12</v>
      </c>
      <c r="B13" t="s">
        <v>64</v>
      </c>
      <c r="C13" t="s">
        <v>64</v>
      </c>
      <c r="D13" t="s">
        <v>64</v>
      </c>
      <c r="F13" t="s">
        <v>64</v>
      </c>
      <c r="G13" t="s">
        <v>65</v>
      </c>
    </row>
    <row r="14" spans="1:7" x14ac:dyDescent="0.25">
      <c r="A14">
        <v>13</v>
      </c>
      <c r="C14" t="s">
        <v>46</v>
      </c>
      <c r="D14" t="s">
        <v>66</v>
      </c>
      <c r="F14" t="s">
        <v>66</v>
      </c>
      <c r="G14" t="s">
        <v>67</v>
      </c>
    </row>
    <row r="15" spans="1:7" x14ac:dyDescent="0.25">
      <c r="A15">
        <v>14</v>
      </c>
      <c r="B15" t="s">
        <v>68</v>
      </c>
      <c r="C15" t="s">
        <v>68</v>
      </c>
      <c r="D15" t="s">
        <v>69</v>
      </c>
      <c r="F15" t="s">
        <v>68</v>
      </c>
      <c r="G15" t="s">
        <v>70</v>
      </c>
    </row>
    <row r="16" spans="1:7" x14ac:dyDescent="0.25">
      <c r="A16">
        <v>15</v>
      </c>
      <c r="B16" t="s">
        <v>71</v>
      </c>
      <c r="C16" t="s">
        <v>71</v>
      </c>
      <c r="D16" t="s">
        <v>71</v>
      </c>
      <c r="F16" t="s">
        <v>71</v>
      </c>
      <c r="G16" t="s">
        <v>72</v>
      </c>
    </row>
    <row r="17" spans="1:7" x14ac:dyDescent="0.25">
      <c r="A17">
        <v>16</v>
      </c>
      <c r="B17" t="s">
        <v>73</v>
      </c>
      <c r="C17" t="s">
        <v>74</v>
      </c>
      <c r="D17" t="s">
        <v>75</v>
      </c>
      <c r="F17" t="s">
        <v>76</v>
      </c>
      <c r="G17" t="s">
        <v>77</v>
      </c>
    </row>
    <row r="18" spans="1:7" x14ac:dyDescent="0.25">
      <c r="A18">
        <v>17</v>
      </c>
      <c r="B18" t="s">
        <v>78</v>
      </c>
      <c r="C18" t="s">
        <v>79</v>
      </c>
      <c r="D18" t="s">
        <v>78</v>
      </c>
      <c r="F18" t="s">
        <v>80</v>
      </c>
      <c r="G18" t="s">
        <v>81</v>
      </c>
    </row>
    <row r="19" spans="1:7" x14ac:dyDescent="0.25">
      <c r="A19">
        <v>18</v>
      </c>
      <c r="B19" t="s">
        <v>82</v>
      </c>
      <c r="C19" t="s">
        <v>83</v>
      </c>
      <c r="D19" t="s">
        <v>83</v>
      </c>
      <c r="F19" t="s">
        <v>82</v>
      </c>
      <c r="G19" t="s">
        <v>84</v>
      </c>
    </row>
    <row r="20" spans="1:7" x14ac:dyDescent="0.25">
      <c r="A20">
        <v>19</v>
      </c>
      <c r="B20" t="s">
        <v>85</v>
      </c>
      <c r="C20" t="s">
        <v>86</v>
      </c>
      <c r="D20" t="s">
        <v>86</v>
      </c>
      <c r="F20" t="s">
        <v>86</v>
      </c>
      <c r="G20" t="s">
        <v>87</v>
      </c>
    </row>
    <row r="21" spans="1:7" x14ac:dyDescent="0.25">
      <c r="A21">
        <v>20</v>
      </c>
      <c r="C21" t="s">
        <v>88</v>
      </c>
      <c r="D21" t="s">
        <v>88</v>
      </c>
      <c r="F21" t="s">
        <v>88</v>
      </c>
      <c r="G21" t="s">
        <v>89</v>
      </c>
    </row>
    <row r="22" spans="1:7" x14ac:dyDescent="0.25">
      <c r="A22">
        <v>21</v>
      </c>
      <c r="C22" t="s">
        <v>90</v>
      </c>
      <c r="D22" t="s">
        <v>90</v>
      </c>
      <c r="F22" t="s">
        <v>90</v>
      </c>
      <c r="G22" t="s">
        <v>91</v>
      </c>
    </row>
    <row r="23" spans="1:7" x14ac:dyDescent="0.25">
      <c r="A23">
        <v>22</v>
      </c>
      <c r="C23" t="s">
        <v>92</v>
      </c>
      <c r="D23" t="s">
        <v>92</v>
      </c>
      <c r="F23" t="s">
        <v>93</v>
      </c>
      <c r="G23" t="s">
        <v>94</v>
      </c>
    </row>
    <row r="24" spans="1:7" x14ac:dyDescent="0.25">
      <c r="A24">
        <v>23</v>
      </c>
      <c r="C24" t="s">
        <v>95</v>
      </c>
      <c r="D24" t="s">
        <v>96</v>
      </c>
      <c r="F24" t="s">
        <v>97</v>
      </c>
      <c r="G24" t="s">
        <v>98</v>
      </c>
    </row>
    <row r="25" spans="1:7" x14ac:dyDescent="0.25">
      <c r="A25">
        <v>24</v>
      </c>
      <c r="C25" t="s">
        <v>99</v>
      </c>
      <c r="D25" t="s">
        <v>100</v>
      </c>
      <c r="F25" t="s">
        <v>101</v>
      </c>
      <c r="G25" t="s">
        <v>102</v>
      </c>
    </row>
    <row r="26" spans="1:7" x14ac:dyDescent="0.25">
      <c r="A26">
        <v>25</v>
      </c>
      <c r="C26" t="s">
        <v>103</v>
      </c>
      <c r="D26" t="s">
        <v>104</v>
      </c>
      <c r="F26" t="s">
        <v>105</v>
      </c>
      <c r="G26" t="s">
        <v>106</v>
      </c>
    </row>
    <row r="27" spans="1:7" x14ac:dyDescent="0.25">
      <c r="A27">
        <v>26</v>
      </c>
      <c r="C27" t="s">
        <v>107</v>
      </c>
      <c r="D27" t="s">
        <v>107</v>
      </c>
      <c r="F27" t="s">
        <v>108</v>
      </c>
      <c r="G27" t="s">
        <v>109</v>
      </c>
    </row>
    <row r="28" spans="1:7" x14ac:dyDescent="0.25">
      <c r="A28">
        <v>27</v>
      </c>
      <c r="C28" t="s">
        <v>110</v>
      </c>
      <c r="D28" t="s">
        <v>110</v>
      </c>
      <c r="F28" t="s">
        <v>110</v>
      </c>
      <c r="G28" t="s">
        <v>111</v>
      </c>
    </row>
    <row r="29" spans="1:7" x14ac:dyDescent="0.25">
      <c r="A29">
        <v>28</v>
      </c>
      <c r="C29" t="s">
        <v>112</v>
      </c>
      <c r="D29" t="s">
        <v>112</v>
      </c>
      <c r="F29" t="s">
        <v>113</v>
      </c>
      <c r="G29" t="s">
        <v>114</v>
      </c>
    </row>
    <row r="30" spans="1:7" x14ac:dyDescent="0.25">
      <c r="A30">
        <v>29</v>
      </c>
      <c r="C30" t="s">
        <v>115</v>
      </c>
      <c r="D30" t="s">
        <v>116</v>
      </c>
      <c r="F30" t="s">
        <v>116</v>
      </c>
      <c r="G30" t="s">
        <v>117</v>
      </c>
    </row>
    <row r="31" spans="1:7" x14ac:dyDescent="0.25">
      <c r="A31">
        <v>30</v>
      </c>
      <c r="C31" t="s">
        <v>118</v>
      </c>
      <c r="D31" t="s">
        <v>118</v>
      </c>
      <c r="F31" t="s">
        <v>118</v>
      </c>
      <c r="G31" t="s">
        <v>119</v>
      </c>
    </row>
    <row r="32" spans="1:7" x14ac:dyDescent="0.25">
      <c r="A32">
        <v>31</v>
      </c>
      <c r="C32" t="s">
        <v>120</v>
      </c>
      <c r="F32" t="s">
        <v>120</v>
      </c>
      <c r="G32" t="s">
        <v>121</v>
      </c>
    </row>
    <row r="33" spans="1:7" x14ac:dyDescent="0.25">
      <c r="A33">
        <v>32</v>
      </c>
      <c r="C33" t="s">
        <v>122</v>
      </c>
      <c r="F33" t="s">
        <v>122</v>
      </c>
      <c r="G33" t="s">
        <v>123</v>
      </c>
    </row>
    <row r="34" spans="1:7" x14ac:dyDescent="0.25">
      <c r="A34">
        <v>33</v>
      </c>
      <c r="C34" t="s">
        <v>124</v>
      </c>
      <c r="F34" t="s">
        <v>125</v>
      </c>
      <c r="G34" t="s">
        <v>126</v>
      </c>
    </row>
    <row r="35" spans="1:7" x14ac:dyDescent="0.25">
      <c r="A35">
        <v>34</v>
      </c>
      <c r="C35" t="s">
        <v>127</v>
      </c>
      <c r="F35" t="s">
        <v>128</v>
      </c>
      <c r="G35" t="s">
        <v>129</v>
      </c>
    </row>
    <row r="36" spans="1:7" x14ac:dyDescent="0.25">
      <c r="A36">
        <v>35</v>
      </c>
      <c r="C36" t="s">
        <v>130</v>
      </c>
      <c r="F36" t="s">
        <v>130</v>
      </c>
      <c r="G36" t="s">
        <v>131</v>
      </c>
    </row>
    <row r="37" spans="1:7" x14ac:dyDescent="0.25">
      <c r="A37">
        <v>36</v>
      </c>
      <c r="C37" t="s">
        <v>132</v>
      </c>
      <c r="F37" t="s">
        <v>133</v>
      </c>
      <c r="G37" t="s">
        <v>134</v>
      </c>
    </row>
    <row r="38" spans="1:7" x14ac:dyDescent="0.25">
      <c r="A38">
        <v>37</v>
      </c>
      <c r="C38" t="s">
        <v>135</v>
      </c>
      <c r="F38" t="s">
        <v>136</v>
      </c>
      <c r="G38" t="s">
        <v>137</v>
      </c>
    </row>
    <row r="39" spans="1:7" x14ac:dyDescent="0.25">
      <c r="A39">
        <v>38</v>
      </c>
      <c r="C39" t="s">
        <v>138</v>
      </c>
      <c r="F39" t="s">
        <v>139</v>
      </c>
      <c r="G39" t="s">
        <v>140</v>
      </c>
    </row>
    <row r="40" spans="1:7" x14ac:dyDescent="0.25">
      <c r="A40">
        <v>39</v>
      </c>
      <c r="C40" t="s">
        <v>141</v>
      </c>
      <c r="F40" t="s">
        <v>142</v>
      </c>
      <c r="G40" t="s">
        <v>143</v>
      </c>
    </row>
    <row r="41" spans="1:7" x14ac:dyDescent="0.25">
      <c r="A41">
        <v>40</v>
      </c>
      <c r="C41" t="s">
        <v>144</v>
      </c>
      <c r="F41" t="s">
        <v>145</v>
      </c>
      <c r="G41" t="s">
        <v>146</v>
      </c>
    </row>
    <row r="42" spans="1:7" x14ac:dyDescent="0.25">
      <c r="A42">
        <v>41</v>
      </c>
      <c r="C42" t="s">
        <v>147</v>
      </c>
      <c r="F42" t="s">
        <v>148</v>
      </c>
      <c r="G42" t="s">
        <v>149</v>
      </c>
    </row>
    <row r="43" spans="1:7" x14ac:dyDescent="0.25">
      <c r="A43">
        <v>42</v>
      </c>
      <c r="C43" t="s">
        <v>150</v>
      </c>
      <c r="F43" t="s">
        <v>150</v>
      </c>
      <c r="G43" t="s">
        <v>151</v>
      </c>
    </row>
    <row r="44" spans="1:7" x14ac:dyDescent="0.25">
      <c r="A44">
        <v>43</v>
      </c>
      <c r="C44" t="s">
        <v>152</v>
      </c>
      <c r="F44" t="s">
        <v>153</v>
      </c>
      <c r="G44" t="s">
        <v>154</v>
      </c>
    </row>
    <row r="45" spans="1:7" x14ac:dyDescent="0.25">
      <c r="A45">
        <v>44</v>
      </c>
      <c r="C45" t="s">
        <v>155</v>
      </c>
      <c r="F45" t="s">
        <v>156</v>
      </c>
      <c r="G45" t="s">
        <v>157</v>
      </c>
    </row>
    <row r="46" spans="1:7" x14ac:dyDescent="0.25">
      <c r="A46">
        <v>45</v>
      </c>
      <c r="C46" t="s">
        <v>158</v>
      </c>
      <c r="F46" t="s">
        <v>159</v>
      </c>
      <c r="G46" t="s">
        <v>160</v>
      </c>
    </row>
    <row r="47" spans="1:7" x14ac:dyDescent="0.25">
      <c r="A47">
        <v>46</v>
      </c>
      <c r="C47" t="s">
        <v>161</v>
      </c>
      <c r="F47" t="s">
        <v>162</v>
      </c>
      <c r="G47" t="s">
        <v>163</v>
      </c>
    </row>
    <row r="48" spans="1:7" x14ac:dyDescent="0.25">
      <c r="A48">
        <v>47</v>
      </c>
      <c r="C48" t="s">
        <v>164</v>
      </c>
      <c r="F48" t="s">
        <v>165</v>
      </c>
      <c r="G48" t="s">
        <v>166</v>
      </c>
    </row>
    <row r="49" spans="1:7" x14ac:dyDescent="0.25">
      <c r="A49">
        <v>48</v>
      </c>
      <c r="C49" t="s">
        <v>167</v>
      </c>
      <c r="F49" t="s">
        <v>168</v>
      </c>
      <c r="G49" t="s">
        <v>169</v>
      </c>
    </row>
    <row r="50" spans="1:7" x14ac:dyDescent="0.25">
      <c r="A50">
        <v>49</v>
      </c>
      <c r="C50" t="s">
        <v>170</v>
      </c>
      <c r="F50" t="s">
        <v>171</v>
      </c>
      <c r="G50" t="s">
        <v>172</v>
      </c>
    </row>
    <row r="51" spans="1:7" x14ac:dyDescent="0.25">
      <c r="A51">
        <v>50</v>
      </c>
      <c r="C51" t="s">
        <v>173</v>
      </c>
      <c r="F51" t="s">
        <v>173</v>
      </c>
      <c r="G51" t="s">
        <v>174</v>
      </c>
    </row>
    <row r="52" spans="1:7" x14ac:dyDescent="0.25">
      <c r="A52">
        <v>51</v>
      </c>
      <c r="B52" t="s">
        <v>175</v>
      </c>
      <c r="C52" t="s">
        <v>175</v>
      </c>
      <c r="D52" t="s">
        <v>176</v>
      </c>
      <c r="E52" t="s">
        <v>177</v>
      </c>
      <c r="F52" t="s">
        <v>178</v>
      </c>
      <c r="G52" t="s">
        <v>179</v>
      </c>
    </row>
    <row r="53" spans="1:7" x14ac:dyDescent="0.25">
      <c r="A53">
        <v>52</v>
      </c>
      <c r="B53" t="s">
        <v>180</v>
      </c>
      <c r="C53" t="s">
        <v>181</v>
      </c>
      <c r="D53" t="s">
        <v>182</v>
      </c>
      <c r="F53" t="s">
        <v>183</v>
      </c>
      <c r="G53" t="s">
        <v>184</v>
      </c>
    </row>
    <row r="54" spans="1:7" x14ac:dyDescent="0.25">
      <c r="A54">
        <v>53</v>
      </c>
      <c r="B54" t="s">
        <v>185</v>
      </c>
      <c r="C54" t="s">
        <v>185</v>
      </c>
      <c r="D54" t="s">
        <v>185</v>
      </c>
      <c r="E54" t="s">
        <v>186</v>
      </c>
      <c r="F54" t="s">
        <v>187</v>
      </c>
      <c r="G54" t="s">
        <v>188</v>
      </c>
    </row>
    <row r="55" spans="1:7" x14ac:dyDescent="0.25">
      <c r="A55">
        <v>54</v>
      </c>
      <c r="B55" t="s">
        <v>189</v>
      </c>
      <c r="C55" t="s">
        <v>189</v>
      </c>
      <c r="D55" t="s">
        <v>189</v>
      </c>
      <c r="E55" t="s">
        <v>190</v>
      </c>
      <c r="F55" t="s">
        <v>189</v>
      </c>
      <c r="G55" t="s">
        <v>191</v>
      </c>
    </row>
    <row r="56" spans="1:7" x14ac:dyDescent="0.25">
      <c r="A56">
        <v>55</v>
      </c>
      <c r="B56" t="s">
        <v>192</v>
      </c>
      <c r="C56" t="s">
        <v>192</v>
      </c>
      <c r="D56" t="s">
        <v>192</v>
      </c>
      <c r="E56" t="s">
        <v>193</v>
      </c>
      <c r="F56" t="s">
        <v>192</v>
      </c>
      <c r="G56" t="s">
        <v>194</v>
      </c>
    </row>
    <row r="57" spans="1:7" x14ac:dyDescent="0.25">
      <c r="A57">
        <v>56</v>
      </c>
      <c r="B57" t="s">
        <v>195</v>
      </c>
      <c r="C57" t="s">
        <v>195</v>
      </c>
      <c r="D57" t="s">
        <v>195</v>
      </c>
      <c r="E57" t="s">
        <v>196</v>
      </c>
      <c r="F57" t="s">
        <v>197</v>
      </c>
      <c r="G57" t="s">
        <v>198</v>
      </c>
    </row>
    <row r="58" spans="1:7" x14ac:dyDescent="0.25">
      <c r="A58">
        <v>57</v>
      </c>
      <c r="B58" t="s">
        <v>199</v>
      </c>
      <c r="C58" t="s">
        <v>200</v>
      </c>
      <c r="D58" t="s">
        <v>200</v>
      </c>
      <c r="F58" t="s">
        <v>200</v>
      </c>
      <c r="G58" t="s">
        <v>201</v>
      </c>
    </row>
    <row r="59" spans="1:7" x14ac:dyDescent="0.25">
      <c r="A59">
        <v>58</v>
      </c>
      <c r="B59" t="s">
        <v>202</v>
      </c>
      <c r="C59" t="s">
        <v>203</v>
      </c>
      <c r="D59" t="s">
        <v>203</v>
      </c>
      <c r="F59" t="s">
        <v>203</v>
      </c>
      <c r="G59" t="s">
        <v>204</v>
      </c>
    </row>
    <row r="60" spans="1:7" x14ac:dyDescent="0.25">
      <c r="A60">
        <v>59</v>
      </c>
      <c r="B60" t="s">
        <v>205</v>
      </c>
      <c r="C60" t="s">
        <v>205</v>
      </c>
      <c r="D60" t="s">
        <v>205</v>
      </c>
      <c r="E60" t="s">
        <v>206</v>
      </c>
      <c r="F60" t="s">
        <v>207</v>
      </c>
      <c r="G60" t="s">
        <v>208</v>
      </c>
    </row>
    <row r="61" spans="1:7" x14ac:dyDescent="0.25">
      <c r="A61">
        <v>60</v>
      </c>
      <c r="B61" t="s">
        <v>209</v>
      </c>
      <c r="C61" t="s">
        <v>209</v>
      </c>
      <c r="D61" t="s">
        <v>209</v>
      </c>
      <c r="F61" t="s">
        <v>209</v>
      </c>
      <c r="G61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A8E7-F87E-4763-B561-5B378458B886}">
  <dimension ref="A1:H61"/>
  <sheetViews>
    <sheetView workbookViewId="0">
      <selection activeCell="H1" sqref="H1:H1048576"/>
    </sheetView>
  </sheetViews>
  <sheetFormatPr defaultRowHeight="15" x14ac:dyDescent="0.25"/>
  <cols>
    <col min="3" max="3" width="11" bestFit="1" customWidth="1"/>
    <col min="4" max="4" width="12.5703125" bestFit="1" customWidth="1"/>
    <col min="5" max="5" width="7.85546875" bestFit="1" customWidth="1"/>
    <col min="6" max="6" width="14.42578125" bestFit="1" customWidth="1"/>
    <col min="7" max="7" width="14.5703125" bestFit="1" customWidth="1"/>
    <col min="8" max="8" width="14.7109375" bestFit="1" customWidth="1"/>
  </cols>
  <sheetData>
    <row r="1" spans="1:8" x14ac:dyDescent="0.25">
      <c r="A1" t="s">
        <v>0</v>
      </c>
      <c r="B1" t="s">
        <v>16</v>
      </c>
      <c r="C1" t="s">
        <v>3</v>
      </c>
      <c r="D1" t="s">
        <v>6</v>
      </c>
      <c r="E1" t="s">
        <v>9</v>
      </c>
      <c r="F1" t="s">
        <v>12</v>
      </c>
      <c r="G1" t="s">
        <v>15</v>
      </c>
      <c r="H1" t="s">
        <v>20</v>
      </c>
    </row>
    <row r="2" spans="1:8" x14ac:dyDescent="0.25">
      <c r="A2">
        <v>1</v>
      </c>
      <c r="B2">
        <v>25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</row>
    <row r="3" spans="1:8" x14ac:dyDescent="0.25">
      <c r="A3">
        <v>2</v>
      </c>
      <c r="B3">
        <v>25</v>
      </c>
      <c r="C3">
        <v>20</v>
      </c>
      <c r="D3">
        <v>20</v>
      </c>
      <c r="E3">
        <v>20</v>
      </c>
      <c r="G3">
        <v>19</v>
      </c>
      <c r="H3">
        <v>20</v>
      </c>
    </row>
    <row r="4" spans="1:8" x14ac:dyDescent="0.25">
      <c r="A4">
        <v>3</v>
      </c>
      <c r="B4">
        <v>25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</row>
    <row r="5" spans="1:8" x14ac:dyDescent="0.25">
      <c r="A5">
        <v>4</v>
      </c>
      <c r="B5">
        <v>25</v>
      </c>
      <c r="C5">
        <v>18</v>
      </c>
      <c r="D5">
        <v>18</v>
      </c>
      <c r="E5">
        <v>18</v>
      </c>
      <c r="F5">
        <v>18</v>
      </c>
      <c r="G5">
        <v>17</v>
      </c>
      <c r="H5">
        <v>17</v>
      </c>
    </row>
    <row r="6" spans="1:8" x14ac:dyDescent="0.25">
      <c r="A6">
        <v>5</v>
      </c>
      <c r="B6">
        <v>25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</row>
    <row r="7" spans="1:8" x14ac:dyDescent="0.25">
      <c r="A7">
        <v>6</v>
      </c>
      <c r="B7">
        <v>25</v>
      </c>
      <c r="C7">
        <v>19</v>
      </c>
      <c r="D7">
        <v>19</v>
      </c>
      <c r="E7">
        <v>19</v>
      </c>
      <c r="G7">
        <v>19</v>
      </c>
      <c r="H7">
        <v>19</v>
      </c>
    </row>
    <row r="8" spans="1:8" x14ac:dyDescent="0.25">
      <c r="A8">
        <v>7</v>
      </c>
      <c r="B8">
        <v>25</v>
      </c>
      <c r="C8">
        <v>18</v>
      </c>
      <c r="D8">
        <v>18</v>
      </c>
      <c r="E8">
        <v>18</v>
      </c>
      <c r="G8">
        <v>18</v>
      </c>
      <c r="H8">
        <v>18</v>
      </c>
    </row>
    <row r="9" spans="1:8" x14ac:dyDescent="0.25">
      <c r="A9">
        <v>8</v>
      </c>
      <c r="B9">
        <v>25</v>
      </c>
      <c r="C9">
        <v>19</v>
      </c>
      <c r="D9">
        <v>19</v>
      </c>
      <c r="E9">
        <v>19</v>
      </c>
      <c r="G9">
        <v>19</v>
      </c>
      <c r="H9">
        <v>19</v>
      </c>
    </row>
    <row r="10" spans="1:8" x14ac:dyDescent="0.25">
      <c r="A10">
        <v>9</v>
      </c>
      <c r="B10">
        <v>25</v>
      </c>
      <c r="C10">
        <v>18</v>
      </c>
      <c r="D10">
        <v>18</v>
      </c>
      <c r="E10">
        <v>18</v>
      </c>
      <c r="G10">
        <v>18</v>
      </c>
      <c r="H10">
        <v>18</v>
      </c>
    </row>
    <row r="11" spans="1:8" x14ac:dyDescent="0.25">
      <c r="A11">
        <v>10</v>
      </c>
      <c r="B11">
        <v>25</v>
      </c>
      <c r="C11">
        <v>20</v>
      </c>
      <c r="D11">
        <v>20</v>
      </c>
      <c r="E11">
        <v>20</v>
      </c>
      <c r="G11">
        <v>12</v>
      </c>
      <c r="H11">
        <v>20</v>
      </c>
    </row>
    <row r="12" spans="1:8" x14ac:dyDescent="0.25">
      <c r="A12">
        <v>11</v>
      </c>
      <c r="B12">
        <v>40</v>
      </c>
      <c r="C12">
        <v>36</v>
      </c>
      <c r="D12">
        <v>36</v>
      </c>
      <c r="E12">
        <v>36</v>
      </c>
      <c r="G12">
        <v>31</v>
      </c>
      <c r="H12">
        <v>36</v>
      </c>
    </row>
    <row r="13" spans="1:8" x14ac:dyDescent="0.25">
      <c r="A13">
        <v>12</v>
      </c>
      <c r="B13">
        <v>40</v>
      </c>
      <c r="C13">
        <v>36</v>
      </c>
      <c r="D13">
        <v>36</v>
      </c>
      <c r="E13">
        <v>36</v>
      </c>
      <c r="G13">
        <v>36</v>
      </c>
      <c r="H13">
        <v>36</v>
      </c>
    </row>
    <row r="14" spans="1:8" x14ac:dyDescent="0.25">
      <c r="A14">
        <v>13</v>
      </c>
      <c r="B14">
        <v>40</v>
      </c>
      <c r="D14">
        <v>38</v>
      </c>
      <c r="E14">
        <v>38</v>
      </c>
      <c r="G14">
        <v>38</v>
      </c>
      <c r="H14">
        <v>38</v>
      </c>
    </row>
    <row r="15" spans="1:8" x14ac:dyDescent="0.25">
      <c r="A15">
        <v>14</v>
      </c>
      <c r="B15">
        <v>40</v>
      </c>
      <c r="C15">
        <v>39</v>
      </c>
      <c r="D15">
        <v>39</v>
      </c>
      <c r="E15">
        <v>39</v>
      </c>
      <c r="G15">
        <v>39</v>
      </c>
      <c r="H15">
        <v>39</v>
      </c>
    </row>
    <row r="16" spans="1:8" x14ac:dyDescent="0.25">
      <c r="A16">
        <v>15</v>
      </c>
      <c r="B16">
        <v>40</v>
      </c>
      <c r="C16">
        <v>36</v>
      </c>
      <c r="D16">
        <v>36</v>
      </c>
      <c r="E16">
        <v>36</v>
      </c>
      <c r="G16">
        <v>36</v>
      </c>
      <c r="H16">
        <v>36</v>
      </c>
    </row>
    <row r="17" spans="1:8" x14ac:dyDescent="0.25">
      <c r="A17">
        <v>16</v>
      </c>
      <c r="B17">
        <v>40</v>
      </c>
      <c r="C17">
        <v>34</v>
      </c>
      <c r="D17">
        <v>34</v>
      </c>
      <c r="E17">
        <v>34</v>
      </c>
      <c r="G17">
        <v>33</v>
      </c>
      <c r="H17">
        <v>34</v>
      </c>
    </row>
    <row r="18" spans="1:8" x14ac:dyDescent="0.25">
      <c r="A18">
        <v>17</v>
      </c>
      <c r="B18">
        <v>40</v>
      </c>
      <c r="C18">
        <v>36</v>
      </c>
      <c r="D18">
        <v>36</v>
      </c>
      <c r="E18">
        <v>36</v>
      </c>
      <c r="G18">
        <v>35</v>
      </c>
      <c r="H18">
        <v>36</v>
      </c>
    </row>
    <row r="19" spans="1:8" x14ac:dyDescent="0.25">
      <c r="A19">
        <v>18</v>
      </c>
      <c r="B19">
        <v>40</v>
      </c>
      <c r="C19">
        <v>38</v>
      </c>
      <c r="D19">
        <v>38</v>
      </c>
      <c r="E19">
        <v>38</v>
      </c>
      <c r="G19">
        <v>38</v>
      </c>
      <c r="H19">
        <v>38</v>
      </c>
    </row>
    <row r="20" spans="1:8" x14ac:dyDescent="0.25">
      <c r="A20">
        <v>19</v>
      </c>
      <c r="B20">
        <v>40</v>
      </c>
      <c r="C20">
        <v>34</v>
      </c>
      <c r="D20">
        <v>34</v>
      </c>
      <c r="E20">
        <v>34</v>
      </c>
      <c r="G20">
        <v>34</v>
      </c>
      <c r="H20">
        <v>34</v>
      </c>
    </row>
    <row r="21" spans="1:8" x14ac:dyDescent="0.25">
      <c r="A21">
        <v>20</v>
      </c>
      <c r="B21">
        <v>40</v>
      </c>
      <c r="D21">
        <v>36</v>
      </c>
      <c r="E21">
        <v>36</v>
      </c>
      <c r="G21">
        <v>36</v>
      </c>
      <c r="H21">
        <v>36</v>
      </c>
    </row>
    <row r="22" spans="1:8" x14ac:dyDescent="0.25">
      <c r="A22">
        <v>21</v>
      </c>
      <c r="B22">
        <v>50</v>
      </c>
      <c r="D22">
        <v>46</v>
      </c>
      <c r="E22">
        <v>46</v>
      </c>
      <c r="G22">
        <v>46</v>
      </c>
      <c r="H22">
        <v>46</v>
      </c>
    </row>
    <row r="23" spans="1:8" x14ac:dyDescent="0.25">
      <c r="A23">
        <v>22</v>
      </c>
      <c r="B23">
        <v>50</v>
      </c>
      <c r="D23">
        <v>49</v>
      </c>
      <c r="E23">
        <v>49</v>
      </c>
      <c r="G23">
        <v>48</v>
      </c>
      <c r="H23">
        <v>49</v>
      </c>
    </row>
    <row r="24" spans="1:8" x14ac:dyDescent="0.25">
      <c r="A24">
        <v>23</v>
      </c>
      <c r="B24">
        <v>50</v>
      </c>
      <c r="D24">
        <v>48</v>
      </c>
      <c r="E24">
        <v>48</v>
      </c>
      <c r="G24">
        <v>47</v>
      </c>
      <c r="H24">
        <v>48</v>
      </c>
    </row>
    <row r="25" spans="1:8" x14ac:dyDescent="0.25">
      <c r="A25">
        <v>24</v>
      </c>
      <c r="B25">
        <v>50</v>
      </c>
      <c r="D25">
        <v>48</v>
      </c>
      <c r="E25">
        <v>48</v>
      </c>
      <c r="G25">
        <v>46</v>
      </c>
      <c r="H25">
        <v>48</v>
      </c>
    </row>
    <row r="26" spans="1:8" x14ac:dyDescent="0.25">
      <c r="A26">
        <v>25</v>
      </c>
      <c r="B26">
        <v>50</v>
      </c>
      <c r="D26">
        <v>44</v>
      </c>
      <c r="E26">
        <v>44</v>
      </c>
      <c r="G26">
        <v>42</v>
      </c>
      <c r="H26">
        <v>44</v>
      </c>
    </row>
    <row r="27" spans="1:8" x14ac:dyDescent="0.25">
      <c r="A27">
        <v>26</v>
      </c>
      <c r="B27">
        <v>50</v>
      </c>
      <c r="D27">
        <v>45</v>
      </c>
      <c r="E27">
        <v>45</v>
      </c>
      <c r="G27">
        <v>44</v>
      </c>
      <c r="H27">
        <v>45</v>
      </c>
    </row>
    <row r="28" spans="1:8" x14ac:dyDescent="0.25">
      <c r="A28">
        <v>27</v>
      </c>
      <c r="B28">
        <v>50</v>
      </c>
      <c r="D28">
        <v>46</v>
      </c>
      <c r="E28">
        <v>46</v>
      </c>
      <c r="G28">
        <v>46</v>
      </c>
      <c r="H28">
        <v>46</v>
      </c>
    </row>
    <row r="29" spans="1:8" x14ac:dyDescent="0.25">
      <c r="A29">
        <v>28</v>
      </c>
      <c r="B29">
        <v>50</v>
      </c>
      <c r="D29">
        <v>47</v>
      </c>
      <c r="E29">
        <v>47</v>
      </c>
      <c r="G29">
        <v>46</v>
      </c>
      <c r="H29">
        <v>46</v>
      </c>
    </row>
    <row r="30" spans="1:8" x14ac:dyDescent="0.25">
      <c r="A30">
        <v>29</v>
      </c>
      <c r="B30">
        <v>50</v>
      </c>
      <c r="D30">
        <v>47</v>
      </c>
      <c r="E30">
        <v>47</v>
      </c>
      <c r="G30">
        <v>47</v>
      </c>
      <c r="H30">
        <v>47</v>
      </c>
    </row>
    <row r="31" spans="1:8" x14ac:dyDescent="0.25">
      <c r="A31">
        <v>30</v>
      </c>
      <c r="B31">
        <v>50</v>
      </c>
      <c r="D31">
        <v>44</v>
      </c>
      <c r="E31">
        <v>44</v>
      </c>
      <c r="G31">
        <v>44</v>
      </c>
      <c r="H31">
        <v>44</v>
      </c>
    </row>
    <row r="32" spans="1:8" x14ac:dyDescent="0.25">
      <c r="A32">
        <v>31</v>
      </c>
      <c r="B32">
        <v>75</v>
      </c>
      <c r="D32">
        <v>71</v>
      </c>
      <c r="G32">
        <v>71</v>
      </c>
      <c r="H32">
        <v>71</v>
      </c>
    </row>
    <row r="33" spans="1:8" x14ac:dyDescent="0.25">
      <c r="A33">
        <v>32</v>
      </c>
      <c r="B33">
        <v>75</v>
      </c>
      <c r="D33">
        <v>71</v>
      </c>
      <c r="G33">
        <v>71</v>
      </c>
      <c r="H33">
        <v>71</v>
      </c>
    </row>
    <row r="34" spans="1:8" x14ac:dyDescent="0.25">
      <c r="A34">
        <v>33</v>
      </c>
      <c r="B34">
        <v>75</v>
      </c>
      <c r="D34">
        <v>72</v>
      </c>
      <c r="G34">
        <v>71</v>
      </c>
      <c r="H34">
        <v>72</v>
      </c>
    </row>
    <row r="35" spans="1:8" x14ac:dyDescent="0.25">
      <c r="A35">
        <v>34</v>
      </c>
      <c r="B35">
        <v>75</v>
      </c>
      <c r="D35">
        <v>74</v>
      </c>
      <c r="G35">
        <v>74</v>
      </c>
      <c r="H35">
        <v>74</v>
      </c>
    </row>
    <row r="36" spans="1:8" x14ac:dyDescent="0.25">
      <c r="A36">
        <v>35</v>
      </c>
      <c r="B36">
        <v>75</v>
      </c>
      <c r="D36">
        <v>71</v>
      </c>
      <c r="G36">
        <v>71</v>
      </c>
      <c r="H36">
        <v>71</v>
      </c>
    </row>
    <row r="37" spans="1:8" x14ac:dyDescent="0.25">
      <c r="A37">
        <v>36</v>
      </c>
      <c r="B37">
        <v>75</v>
      </c>
      <c r="D37">
        <v>65</v>
      </c>
      <c r="G37">
        <v>59</v>
      </c>
      <c r="H37">
        <v>65</v>
      </c>
    </row>
    <row r="38" spans="1:8" x14ac:dyDescent="0.25">
      <c r="A38">
        <v>37</v>
      </c>
      <c r="B38">
        <v>75</v>
      </c>
      <c r="D38">
        <v>69</v>
      </c>
      <c r="G38">
        <v>65</v>
      </c>
      <c r="H38">
        <v>69</v>
      </c>
    </row>
    <row r="39" spans="1:8" x14ac:dyDescent="0.25">
      <c r="A39">
        <v>38</v>
      </c>
      <c r="B39">
        <v>75</v>
      </c>
      <c r="D39">
        <v>73</v>
      </c>
      <c r="G39">
        <v>72</v>
      </c>
      <c r="H39">
        <v>73</v>
      </c>
    </row>
    <row r="40" spans="1:8" x14ac:dyDescent="0.25">
      <c r="A40">
        <v>39</v>
      </c>
      <c r="B40">
        <v>75</v>
      </c>
      <c r="D40">
        <v>69</v>
      </c>
      <c r="G40">
        <v>68</v>
      </c>
      <c r="H40">
        <v>69</v>
      </c>
    </row>
    <row r="41" spans="1:8" x14ac:dyDescent="0.25">
      <c r="A41">
        <v>40</v>
      </c>
      <c r="B41">
        <v>75</v>
      </c>
      <c r="D41">
        <v>69</v>
      </c>
      <c r="G41">
        <v>62</v>
      </c>
      <c r="H41">
        <v>68</v>
      </c>
    </row>
    <row r="42" spans="1:8" x14ac:dyDescent="0.25">
      <c r="A42">
        <v>41</v>
      </c>
      <c r="B42">
        <v>100</v>
      </c>
      <c r="D42">
        <v>99</v>
      </c>
      <c r="G42">
        <v>97</v>
      </c>
      <c r="H42">
        <v>99</v>
      </c>
    </row>
    <row r="43" spans="1:8" x14ac:dyDescent="0.25">
      <c r="A43">
        <v>42</v>
      </c>
      <c r="B43">
        <v>100</v>
      </c>
      <c r="D43">
        <v>97</v>
      </c>
      <c r="G43">
        <v>97</v>
      </c>
      <c r="H43">
        <v>97</v>
      </c>
    </row>
    <row r="44" spans="1:8" x14ac:dyDescent="0.25">
      <c r="A44">
        <v>43</v>
      </c>
      <c r="B44">
        <v>100</v>
      </c>
      <c r="D44">
        <v>96</v>
      </c>
      <c r="G44">
        <v>95</v>
      </c>
      <c r="H44">
        <v>96</v>
      </c>
    </row>
    <row r="45" spans="1:8" x14ac:dyDescent="0.25">
      <c r="A45">
        <v>44</v>
      </c>
      <c r="B45">
        <v>100</v>
      </c>
      <c r="D45">
        <v>98</v>
      </c>
      <c r="G45">
        <v>97</v>
      </c>
      <c r="H45">
        <v>98</v>
      </c>
    </row>
    <row r="46" spans="1:8" x14ac:dyDescent="0.25">
      <c r="A46">
        <v>45</v>
      </c>
      <c r="B46">
        <v>100</v>
      </c>
      <c r="D46">
        <v>95</v>
      </c>
      <c r="G46">
        <v>94</v>
      </c>
      <c r="H46">
        <v>95</v>
      </c>
    </row>
    <row r="47" spans="1:8" x14ac:dyDescent="0.25">
      <c r="A47">
        <v>46</v>
      </c>
      <c r="B47">
        <v>100</v>
      </c>
      <c r="D47">
        <v>94</v>
      </c>
      <c r="G47">
        <v>92</v>
      </c>
      <c r="H47">
        <v>93</v>
      </c>
    </row>
    <row r="48" spans="1:8" x14ac:dyDescent="0.25">
      <c r="A48">
        <v>47</v>
      </c>
      <c r="B48">
        <v>100</v>
      </c>
      <c r="D48">
        <v>97</v>
      </c>
      <c r="G48">
        <v>95</v>
      </c>
      <c r="H48">
        <v>97</v>
      </c>
    </row>
    <row r="49" spans="1:8" x14ac:dyDescent="0.25">
      <c r="A49">
        <v>48</v>
      </c>
      <c r="B49">
        <v>100</v>
      </c>
      <c r="D49">
        <v>89</v>
      </c>
      <c r="G49">
        <v>86</v>
      </c>
      <c r="H49">
        <v>89</v>
      </c>
    </row>
    <row r="50" spans="1:8" x14ac:dyDescent="0.25">
      <c r="A50">
        <v>49</v>
      </c>
      <c r="B50">
        <v>100</v>
      </c>
      <c r="D50">
        <v>98</v>
      </c>
      <c r="G50">
        <v>97</v>
      </c>
      <c r="H50">
        <v>98</v>
      </c>
    </row>
    <row r="51" spans="1:8" x14ac:dyDescent="0.25">
      <c r="A51">
        <v>50</v>
      </c>
      <c r="B51">
        <v>100</v>
      </c>
      <c r="D51">
        <v>96</v>
      </c>
      <c r="G51">
        <v>96</v>
      </c>
      <c r="H51">
        <v>96</v>
      </c>
    </row>
    <row r="52" spans="1:8" x14ac:dyDescent="0.25">
      <c r="A52">
        <v>51</v>
      </c>
      <c r="B52">
        <v>20</v>
      </c>
      <c r="C52">
        <v>11</v>
      </c>
      <c r="D52">
        <v>11</v>
      </c>
      <c r="E52">
        <v>11</v>
      </c>
      <c r="F52">
        <v>11</v>
      </c>
      <c r="G52">
        <v>10</v>
      </c>
      <c r="H52">
        <v>11</v>
      </c>
    </row>
    <row r="53" spans="1:8" x14ac:dyDescent="0.25">
      <c r="A53">
        <v>52</v>
      </c>
      <c r="B53">
        <v>20</v>
      </c>
      <c r="C53">
        <v>15</v>
      </c>
      <c r="D53">
        <v>15</v>
      </c>
      <c r="E53">
        <v>15</v>
      </c>
      <c r="G53">
        <v>13</v>
      </c>
      <c r="H53">
        <v>15</v>
      </c>
    </row>
    <row r="54" spans="1:8" x14ac:dyDescent="0.25">
      <c r="A54">
        <v>53</v>
      </c>
      <c r="B54">
        <v>20</v>
      </c>
      <c r="C54">
        <v>15</v>
      </c>
      <c r="D54">
        <v>15</v>
      </c>
      <c r="E54">
        <v>15</v>
      </c>
      <c r="F54">
        <v>15</v>
      </c>
      <c r="G54">
        <v>14</v>
      </c>
      <c r="H54">
        <v>15</v>
      </c>
    </row>
    <row r="55" spans="1:8" x14ac:dyDescent="0.25">
      <c r="A55">
        <v>54</v>
      </c>
      <c r="B55">
        <v>20</v>
      </c>
      <c r="C55">
        <v>15</v>
      </c>
      <c r="D55">
        <v>15</v>
      </c>
      <c r="E55">
        <v>15</v>
      </c>
      <c r="F55">
        <v>15</v>
      </c>
      <c r="G55">
        <v>15</v>
      </c>
      <c r="H55">
        <v>15</v>
      </c>
    </row>
    <row r="56" spans="1:8" x14ac:dyDescent="0.25">
      <c r="A56">
        <v>55</v>
      </c>
      <c r="B56">
        <v>20</v>
      </c>
      <c r="C56">
        <v>15</v>
      </c>
      <c r="D56">
        <v>15</v>
      </c>
      <c r="E56">
        <v>15</v>
      </c>
      <c r="F56">
        <v>15</v>
      </c>
      <c r="G56">
        <v>15</v>
      </c>
      <c r="H56">
        <v>15</v>
      </c>
    </row>
    <row r="57" spans="1:8" x14ac:dyDescent="0.25">
      <c r="A57">
        <v>56</v>
      </c>
      <c r="B57">
        <v>20</v>
      </c>
      <c r="C57">
        <v>12</v>
      </c>
      <c r="D57">
        <v>12</v>
      </c>
      <c r="E57">
        <v>12</v>
      </c>
      <c r="F57">
        <v>12</v>
      </c>
      <c r="G57">
        <v>8</v>
      </c>
      <c r="H57">
        <v>12</v>
      </c>
    </row>
    <row r="58" spans="1:8" x14ac:dyDescent="0.25">
      <c r="A58">
        <v>57</v>
      </c>
      <c r="B58">
        <v>20</v>
      </c>
      <c r="C58">
        <v>16</v>
      </c>
      <c r="D58">
        <v>16</v>
      </c>
      <c r="E58">
        <v>16</v>
      </c>
      <c r="G58">
        <v>16</v>
      </c>
      <c r="H58">
        <v>16</v>
      </c>
    </row>
    <row r="59" spans="1:8" x14ac:dyDescent="0.25">
      <c r="A59">
        <v>58</v>
      </c>
      <c r="B59">
        <v>20</v>
      </c>
      <c r="C59">
        <v>14</v>
      </c>
      <c r="D59">
        <v>14</v>
      </c>
      <c r="E59">
        <v>14</v>
      </c>
      <c r="G59">
        <v>14</v>
      </c>
      <c r="H59">
        <v>14</v>
      </c>
    </row>
    <row r="60" spans="1:8" x14ac:dyDescent="0.25">
      <c r="A60">
        <v>59</v>
      </c>
      <c r="B60">
        <v>20</v>
      </c>
      <c r="C60">
        <v>18</v>
      </c>
      <c r="D60">
        <v>18</v>
      </c>
      <c r="E60">
        <v>18</v>
      </c>
      <c r="F60">
        <v>18</v>
      </c>
      <c r="G60">
        <v>17</v>
      </c>
      <c r="H60">
        <v>17</v>
      </c>
    </row>
    <row r="61" spans="1:8" x14ac:dyDescent="0.25">
      <c r="A61">
        <v>60</v>
      </c>
      <c r="B61">
        <v>20</v>
      </c>
      <c r="C61">
        <v>16</v>
      </c>
      <c r="D61">
        <v>16</v>
      </c>
      <c r="E61">
        <v>16</v>
      </c>
      <c r="G61">
        <v>16</v>
      </c>
      <c r="H6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0FF9-3C6C-4DF7-B98D-E886F862BCD4}">
  <dimension ref="A1:G61"/>
  <sheetViews>
    <sheetView workbookViewId="0">
      <selection activeCell="G1" sqref="G1:G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19</v>
      </c>
    </row>
    <row r="2" spans="1:7" x14ac:dyDescent="0.25">
      <c r="A2">
        <v>1</v>
      </c>
      <c r="B2">
        <v>0.17613744735717701</v>
      </c>
      <c r="C2">
        <v>13.040886640548701</v>
      </c>
      <c r="D2">
        <v>47.8435056209564</v>
      </c>
      <c r="E2">
        <v>23232.2081673145</v>
      </c>
      <c r="F2">
        <v>1.48313045501708E-2</v>
      </c>
      <c r="G2">
        <v>0.308791853000002</v>
      </c>
    </row>
    <row r="3" spans="1:7" x14ac:dyDescent="0.25">
      <c r="A3">
        <v>2</v>
      </c>
      <c r="B3">
        <v>0.155776977539062</v>
      </c>
      <c r="C3">
        <v>5.0183191299438397</v>
      </c>
      <c r="D3">
        <v>17.926093339920001</v>
      </c>
      <c r="E3">
        <v>86400.072399616198</v>
      </c>
      <c r="F3">
        <v>4.5094490051269497E-3</v>
      </c>
      <c r="G3">
        <v>0.60000323900021602</v>
      </c>
    </row>
    <row r="4" spans="1:7" x14ac:dyDescent="0.25">
      <c r="A4">
        <v>3</v>
      </c>
      <c r="B4">
        <v>3.4204645156860298</v>
      </c>
      <c r="C4">
        <v>10.010939359664899</v>
      </c>
      <c r="D4">
        <v>17.008090019226</v>
      </c>
      <c r="E4">
        <v>1425.4224481582601</v>
      </c>
      <c r="F4">
        <v>4.02426719665527E-3</v>
      </c>
      <c r="G4">
        <v>0.68429619800008301</v>
      </c>
    </row>
    <row r="5" spans="1:7" x14ac:dyDescent="0.25">
      <c r="A5">
        <v>4</v>
      </c>
      <c r="B5">
        <v>0.351595878601074</v>
      </c>
      <c r="C5">
        <v>8.5404961109161306</v>
      </c>
      <c r="D5">
        <v>27.0141856670379</v>
      </c>
      <c r="E5">
        <v>79622.901596307696</v>
      </c>
      <c r="F5">
        <v>4.1053295135498004E-3</v>
      </c>
      <c r="G5">
        <v>6.1295366000194897E-2</v>
      </c>
    </row>
    <row r="6" spans="1:7" x14ac:dyDescent="0.25">
      <c r="A6">
        <v>5</v>
      </c>
      <c r="B6">
        <v>1.79218649864196</v>
      </c>
      <c r="C6">
        <v>10.0670824050903</v>
      </c>
      <c r="D6">
        <v>20.0004465579986</v>
      </c>
      <c r="E6">
        <v>43438.653435230197</v>
      </c>
      <c r="F6">
        <v>4.1453838348388602E-3</v>
      </c>
      <c r="G6">
        <v>0.53941635699993595</v>
      </c>
    </row>
    <row r="7" spans="1:7" x14ac:dyDescent="0.25">
      <c r="A7">
        <v>6</v>
      </c>
      <c r="B7">
        <v>0.19284844398498499</v>
      </c>
      <c r="C7">
        <v>10.538142442703201</v>
      </c>
      <c r="D7">
        <v>37.179535388946498</v>
      </c>
      <c r="E7">
        <v>86400.035922765703</v>
      </c>
      <c r="F7">
        <v>4.6305656433105399E-3</v>
      </c>
      <c r="G7">
        <v>0.23622381599943701</v>
      </c>
    </row>
    <row r="8" spans="1:7" x14ac:dyDescent="0.25">
      <c r="A8">
        <v>7</v>
      </c>
      <c r="B8">
        <v>2.04270243644714</v>
      </c>
      <c r="C8">
        <v>13.6858465671539</v>
      </c>
      <c r="D8">
        <v>43.679955959319997</v>
      </c>
      <c r="E8">
        <v>86400.141284465702</v>
      </c>
      <c r="F8">
        <v>4.2986869812011701E-3</v>
      </c>
      <c r="G8">
        <v>0.82860088500001405</v>
      </c>
    </row>
    <row r="9" spans="1:7" x14ac:dyDescent="0.25">
      <c r="A9">
        <v>8</v>
      </c>
      <c r="B9">
        <v>1.88013172149658</v>
      </c>
      <c r="C9">
        <v>15.0325124263763</v>
      </c>
      <c r="D9">
        <v>35.265093088150003</v>
      </c>
      <c r="E9">
        <v>86400.195896625504</v>
      </c>
      <c r="F9">
        <v>4.3210983276367101E-3</v>
      </c>
      <c r="G9">
        <v>0.70843770800001904</v>
      </c>
    </row>
    <row r="10" spans="1:7" x14ac:dyDescent="0.25">
      <c r="A10">
        <v>9</v>
      </c>
      <c r="B10">
        <v>0.31319165229797302</v>
      </c>
      <c r="C10">
        <v>27.342374086380001</v>
      </c>
      <c r="D10">
        <v>46.145465373992899</v>
      </c>
      <c r="E10">
        <v>86400.132020473393</v>
      </c>
      <c r="F10">
        <v>4.4243335723876901E-3</v>
      </c>
      <c r="G10">
        <v>0.25433832799990302</v>
      </c>
    </row>
    <row r="11" spans="1:7" x14ac:dyDescent="0.25">
      <c r="A11">
        <v>10</v>
      </c>
      <c r="B11">
        <v>0.11955213546752901</v>
      </c>
      <c r="C11">
        <v>8.4801874160766602</v>
      </c>
      <c r="D11">
        <v>30.6950695514678</v>
      </c>
      <c r="E11">
        <v>86400.117207765506</v>
      </c>
      <c r="F11">
        <v>4.1575431823730399E-3</v>
      </c>
      <c r="G11">
        <v>0.36288929600050301</v>
      </c>
    </row>
    <row r="12" spans="1:7" x14ac:dyDescent="0.25">
      <c r="A12">
        <v>11</v>
      </c>
      <c r="B12">
        <v>756.54569530487004</v>
      </c>
      <c r="C12">
        <v>78.926250696182194</v>
      </c>
      <c r="D12">
        <v>336.39172744750903</v>
      </c>
      <c r="F12">
        <v>5.05590438842773E-3</v>
      </c>
      <c r="G12">
        <v>3.87154061000001</v>
      </c>
    </row>
    <row r="13" spans="1:7" x14ac:dyDescent="0.25">
      <c r="A13">
        <v>12</v>
      </c>
      <c r="B13">
        <v>10313.590175151799</v>
      </c>
      <c r="C13">
        <v>57.669784307479802</v>
      </c>
      <c r="D13">
        <v>124.701942443847</v>
      </c>
      <c r="F13">
        <v>4.7380924224853498E-3</v>
      </c>
      <c r="G13">
        <v>13.8645583409997</v>
      </c>
    </row>
    <row r="14" spans="1:7" x14ac:dyDescent="0.25">
      <c r="A14">
        <v>13</v>
      </c>
      <c r="B14">
        <v>86400.276016235293</v>
      </c>
      <c r="C14">
        <v>92.590262651443396</v>
      </c>
      <c r="D14">
        <v>196.18166255950899</v>
      </c>
      <c r="F14">
        <v>4.8034191131591797E-3</v>
      </c>
      <c r="G14">
        <v>14.8439637400006</v>
      </c>
    </row>
    <row r="15" spans="1:7" x14ac:dyDescent="0.25">
      <c r="A15">
        <v>14</v>
      </c>
      <c r="B15">
        <v>2821.6056025028201</v>
      </c>
      <c r="C15">
        <v>49.555662393569897</v>
      </c>
      <c r="D15">
        <v>110.51520371437</v>
      </c>
      <c r="F15">
        <v>5.0327777862548802E-3</v>
      </c>
      <c r="G15">
        <v>16.021237521999801</v>
      </c>
    </row>
    <row r="16" spans="1:7" x14ac:dyDescent="0.25">
      <c r="A16">
        <v>15</v>
      </c>
      <c r="B16">
        <v>19938.966321229898</v>
      </c>
      <c r="C16">
        <v>68.489382982254</v>
      </c>
      <c r="D16">
        <v>240.73659229278499</v>
      </c>
      <c r="F16">
        <v>4.9045085906982396E-3</v>
      </c>
      <c r="G16">
        <v>5.1966463299995604</v>
      </c>
    </row>
    <row r="17" spans="1:7" x14ac:dyDescent="0.25">
      <c r="A17">
        <v>16</v>
      </c>
      <c r="B17">
        <v>430.32573366165099</v>
      </c>
      <c r="C17">
        <v>58.673640489578197</v>
      </c>
      <c r="D17">
        <v>262.88486266136101</v>
      </c>
      <c r="F17">
        <v>4.8835277557373004E-3</v>
      </c>
      <c r="G17">
        <v>5.4381008430000204</v>
      </c>
    </row>
    <row r="18" spans="1:7" x14ac:dyDescent="0.25">
      <c r="A18">
        <v>17</v>
      </c>
      <c r="B18">
        <v>3930.6082119941698</v>
      </c>
      <c r="C18">
        <v>58.510285615920999</v>
      </c>
      <c r="D18">
        <v>241.108869075775</v>
      </c>
      <c r="F18">
        <v>4.7316551208495998E-3</v>
      </c>
      <c r="G18">
        <v>3.9884953780001502</v>
      </c>
    </row>
    <row r="19" spans="1:7" x14ac:dyDescent="0.25">
      <c r="A19">
        <v>18</v>
      </c>
      <c r="B19">
        <v>3804.9753289222699</v>
      </c>
      <c r="C19">
        <v>57.792312145233097</v>
      </c>
      <c r="D19">
        <v>132.336965322494</v>
      </c>
      <c r="F19">
        <v>5.3415298461914002E-3</v>
      </c>
      <c r="G19">
        <v>6.8793249709997299</v>
      </c>
    </row>
    <row r="20" spans="1:7" x14ac:dyDescent="0.25">
      <c r="A20">
        <v>19</v>
      </c>
      <c r="B20">
        <v>4533.96942925453</v>
      </c>
      <c r="C20">
        <v>43.429264545440603</v>
      </c>
      <c r="D20">
        <v>184.54431152343699</v>
      </c>
      <c r="F20">
        <v>4.7674179077148403E-3</v>
      </c>
      <c r="G20">
        <v>3.6670311400002902</v>
      </c>
    </row>
    <row r="21" spans="1:7" x14ac:dyDescent="0.25">
      <c r="A21">
        <v>20</v>
      </c>
      <c r="B21">
        <v>86402.942539453506</v>
      </c>
      <c r="C21">
        <v>75.783718585968003</v>
      </c>
      <c r="D21">
        <v>272.98981332778902</v>
      </c>
      <c r="F21">
        <v>4.8246383666992101E-3</v>
      </c>
      <c r="G21">
        <v>17.771454538999901</v>
      </c>
    </row>
    <row r="22" spans="1:7" x14ac:dyDescent="0.25">
      <c r="A22">
        <v>21</v>
      </c>
      <c r="C22">
        <v>148.485704660415</v>
      </c>
      <c r="D22">
        <v>742.771787166595</v>
      </c>
      <c r="F22">
        <v>5.3641796112060504E-3</v>
      </c>
      <c r="G22">
        <v>52.139466746999403</v>
      </c>
    </row>
    <row r="23" spans="1:7" x14ac:dyDescent="0.25">
      <c r="A23">
        <v>22</v>
      </c>
      <c r="C23">
        <v>68.101652383804307</v>
      </c>
      <c r="D23">
        <v>188.78203177451999</v>
      </c>
      <c r="F23">
        <v>5.5255889892578099E-3</v>
      </c>
      <c r="G23">
        <v>28.7506917909995</v>
      </c>
    </row>
    <row r="24" spans="1:7" x14ac:dyDescent="0.25">
      <c r="A24">
        <v>23</v>
      </c>
      <c r="C24">
        <v>163.80628585815401</v>
      </c>
      <c r="D24">
        <v>625.075266361236</v>
      </c>
      <c r="F24">
        <v>5.6612491607665998E-3</v>
      </c>
      <c r="G24">
        <v>40.868352464999496</v>
      </c>
    </row>
    <row r="25" spans="1:7" x14ac:dyDescent="0.25">
      <c r="A25">
        <v>24</v>
      </c>
      <c r="C25">
        <v>132.75861263275101</v>
      </c>
      <c r="D25">
        <v>429.64812469482399</v>
      </c>
      <c r="F25">
        <v>6.07061386108398E-3</v>
      </c>
      <c r="G25">
        <v>48.376064332999697</v>
      </c>
    </row>
    <row r="26" spans="1:7" x14ac:dyDescent="0.25">
      <c r="A26">
        <v>25</v>
      </c>
      <c r="C26">
        <v>671.99959683418194</v>
      </c>
      <c r="D26">
        <v>2373.39980578422</v>
      </c>
      <c r="F26">
        <v>5.7797431945800703E-3</v>
      </c>
      <c r="G26">
        <v>24.074460897999401</v>
      </c>
    </row>
    <row r="27" spans="1:7" x14ac:dyDescent="0.25">
      <c r="A27">
        <v>26</v>
      </c>
      <c r="C27">
        <v>130.107779741287</v>
      </c>
      <c r="D27">
        <v>602.71774530410698</v>
      </c>
      <c r="F27">
        <v>5.63573837280273E-3</v>
      </c>
      <c r="G27">
        <v>54.287920102000498</v>
      </c>
    </row>
    <row r="28" spans="1:7" x14ac:dyDescent="0.25">
      <c r="A28">
        <v>27</v>
      </c>
      <c r="C28">
        <v>163.08274078369101</v>
      </c>
      <c r="D28">
        <v>833.21767520904496</v>
      </c>
      <c r="F28">
        <v>5.7203769683837804E-3</v>
      </c>
      <c r="G28">
        <v>7.8249888649997903</v>
      </c>
    </row>
    <row r="29" spans="1:7" x14ac:dyDescent="0.25">
      <c r="A29">
        <v>28</v>
      </c>
      <c r="C29">
        <v>133.62734746932901</v>
      </c>
      <c r="D29">
        <v>517.27748632430996</v>
      </c>
      <c r="F29">
        <v>5.7938098907470703E-3</v>
      </c>
      <c r="G29">
        <v>11.4677312450003</v>
      </c>
    </row>
    <row r="30" spans="1:7" x14ac:dyDescent="0.25">
      <c r="A30">
        <v>29</v>
      </c>
      <c r="B30">
        <v>86400.255258798599</v>
      </c>
      <c r="C30">
        <v>116.93431019783</v>
      </c>
      <c r="D30">
        <v>448.17441725730799</v>
      </c>
      <c r="F30">
        <v>5.5742263793945304E-3</v>
      </c>
      <c r="G30">
        <v>44.995576672999903</v>
      </c>
    </row>
    <row r="31" spans="1:7" x14ac:dyDescent="0.25">
      <c r="A31">
        <v>30</v>
      </c>
      <c r="B31">
        <v>86400.260275602297</v>
      </c>
      <c r="C31">
        <v>155.38067221641501</v>
      </c>
      <c r="D31">
        <v>761.49398493766705</v>
      </c>
      <c r="F31">
        <v>6.0241222381591797E-3</v>
      </c>
      <c r="G31">
        <v>15.437240094000099</v>
      </c>
    </row>
    <row r="32" spans="1:7" x14ac:dyDescent="0.25">
      <c r="A32">
        <v>31</v>
      </c>
      <c r="C32">
        <v>636.51029920578003</v>
      </c>
      <c r="D32">
        <v>829.766471147537</v>
      </c>
      <c r="F32">
        <v>7.2510242462158203E-3</v>
      </c>
      <c r="G32">
        <v>79.297554165999799</v>
      </c>
    </row>
    <row r="33" spans="1:7" x14ac:dyDescent="0.25">
      <c r="A33">
        <v>32</v>
      </c>
      <c r="C33">
        <v>801.98344182968106</v>
      </c>
      <c r="D33">
        <v>990.50533342361405</v>
      </c>
      <c r="F33">
        <v>7.1249008178710903E-3</v>
      </c>
      <c r="G33">
        <v>288.05232249800002</v>
      </c>
    </row>
    <row r="34" spans="1:7" x14ac:dyDescent="0.25">
      <c r="A34">
        <v>33</v>
      </c>
      <c r="C34">
        <v>862.76423358917202</v>
      </c>
      <c r="D34">
        <v>1056.46148824691</v>
      </c>
      <c r="F34">
        <v>7.4980258941650304E-3</v>
      </c>
      <c r="G34">
        <v>614.91762200799894</v>
      </c>
    </row>
    <row r="35" spans="1:7" x14ac:dyDescent="0.25">
      <c r="A35">
        <v>34</v>
      </c>
      <c r="C35">
        <v>797.57793855667103</v>
      </c>
      <c r="D35">
        <v>997.39090871810902</v>
      </c>
      <c r="F35">
        <v>7.43985176086425E-3</v>
      </c>
      <c r="G35">
        <v>218.680504576999</v>
      </c>
    </row>
    <row r="36" spans="1:7" x14ac:dyDescent="0.25">
      <c r="A36">
        <v>35</v>
      </c>
      <c r="C36">
        <v>737.52451467514004</v>
      </c>
      <c r="D36">
        <v>947.693143606185</v>
      </c>
      <c r="F36">
        <v>7.4191093444824201E-3</v>
      </c>
      <c r="G36">
        <v>192.85136975399899</v>
      </c>
    </row>
    <row r="37" spans="1:7" x14ac:dyDescent="0.25">
      <c r="A37">
        <v>36</v>
      </c>
      <c r="C37">
        <v>12748.104264736099</v>
      </c>
      <c r="D37">
        <v>1018.60106301307</v>
      </c>
      <c r="F37">
        <v>7.6315402984619097E-3</v>
      </c>
      <c r="G37">
        <v>17.534093567999602</v>
      </c>
    </row>
    <row r="38" spans="1:7" x14ac:dyDescent="0.25">
      <c r="A38">
        <v>37</v>
      </c>
      <c r="C38">
        <v>859.79220128059296</v>
      </c>
      <c r="D38">
        <v>1054.3817796707101</v>
      </c>
      <c r="F38">
        <v>6.9537162780761701E-3</v>
      </c>
      <c r="G38">
        <v>258.266375434</v>
      </c>
    </row>
    <row r="39" spans="1:7" x14ac:dyDescent="0.25">
      <c r="A39">
        <v>38</v>
      </c>
      <c r="C39">
        <v>966.47409462928704</v>
      </c>
      <c r="D39">
        <v>1181.8140380382499</v>
      </c>
      <c r="F39">
        <v>6.7458152770995998E-3</v>
      </c>
      <c r="G39">
        <v>517.463529265999</v>
      </c>
    </row>
    <row r="40" spans="1:7" x14ac:dyDescent="0.25">
      <c r="A40">
        <v>39</v>
      </c>
      <c r="C40">
        <v>499.41710233688298</v>
      </c>
      <c r="D40">
        <v>660.48236823081902</v>
      </c>
      <c r="F40">
        <v>7.1530342102050703E-3</v>
      </c>
      <c r="G40">
        <v>54.713470681000203</v>
      </c>
    </row>
    <row r="41" spans="1:7" x14ac:dyDescent="0.25">
      <c r="A41">
        <v>40</v>
      </c>
      <c r="C41">
        <v>1306.3808846473601</v>
      </c>
      <c r="D41">
        <v>895.20780110359101</v>
      </c>
      <c r="F41">
        <v>7.6365470886230399E-3</v>
      </c>
      <c r="G41">
        <v>52.950518464000197</v>
      </c>
    </row>
    <row r="42" spans="1:7" x14ac:dyDescent="0.25">
      <c r="A42">
        <v>41</v>
      </c>
      <c r="C42">
        <v>3565.7875645160598</v>
      </c>
      <c r="D42">
        <v>4040.33326697349</v>
      </c>
      <c r="F42">
        <v>9.1185569763183594E-3</v>
      </c>
      <c r="G42">
        <v>2203.6678596809902</v>
      </c>
    </row>
    <row r="43" spans="1:7" x14ac:dyDescent="0.25">
      <c r="A43">
        <v>42</v>
      </c>
      <c r="C43">
        <v>2059.7729022502899</v>
      </c>
      <c r="D43">
        <v>3022.9244031906101</v>
      </c>
      <c r="F43">
        <v>8.72802734375E-3</v>
      </c>
      <c r="G43">
        <v>961.16305170199996</v>
      </c>
    </row>
    <row r="44" spans="1:7" x14ac:dyDescent="0.25">
      <c r="A44">
        <v>43</v>
      </c>
      <c r="C44">
        <v>2591.8490533828699</v>
      </c>
      <c r="D44">
        <v>3170.6341514587398</v>
      </c>
      <c r="F44">
        <v>8.9905261993408203E-3</v>
      </c>
      <c r="G44">
        <v>873.47319846000005</v>
      </c>
    </row>
    <row r="45" spans="1:7" x14ac:dyDescent="0.25">
      <c r="A45">
        <v>44</v>
      </c>
      <c r="C45">
        <v>3300.5156140327399</v>
      </c>
      <c r="D45">
        <v>3691.8290073871599</v>
      </c>
      <c r="F45">
        <v>8.6023807525634696E-3</v>
      </c>
      <c r="G45">
        <v>2142.9763260339901</v>
      </c>
    </row>
    <row r="46" spans="1:7" x14ac:dyDescent="0.25">
      <c r="A46">
        <v>45</v>
      </c>
      <c r="C46">
        <v>2714.5142743587398</v>
      </c>
      <c r="D46">
        <v>3101.1883974075299</v>
      </c>
      <c r="F46">
        <v>8.9101791381835903E-3</v>
      </c>
      <c r="G46">
        <v>729.96692357899803</v>
      </c>
    </row>
    <row r="47" spans="1:7" x14ac:dyDescent="0.25">
      <c r="A47">
        <v>46</v>
      </c>
      <c r="C47">
        <v>3459.2452313899898</v>
      </c>
      <c r="D47">
        <v>3352.1920790672302</v>
      </c>
      <c r="F47">
        <v>8.9771747589111293E-3</v>
      </c>
      <c r="G47">
        <v>320.48563197000101</v>
      </c>
    </row>
    <row r="48" spans="1:7" x14ac:dyDescent="0.25">
      <c r="A48">
        <v>47</v>
      </c>
      <c r="C48">
        <v>2488.1506261825498</v>
      </c>
      <c r="D48">
        <v>3088.3284564018199</v>
      </c>
      <c r="F48">
        <v>9.4974040985107405E-3</v>
      </c>
      <c r="G48">
        <v>388.725798064</v>
      </c>
    </row>
    <row r="49" spans="1:7" x14ac:dyDescent="0.25">
      <c r="A49">
        <v>48</v>
      </c>
      <c r="C49">
        <v>6326.9702832698804</v>
      </c>
      <c r="D49">
        <v>3379.9579806327802</v>
      </c>
      <c r="F49">
        <v>9.0699195861816406E-3</v>
      </c>
      <c r="G49">
        <v>8.93906583900025</v>
      </c>
    </row>
    <row r="50" spans="1:7" x14ac:dyDescent="0.25">
      <c r="A50">
        <v>49</v>
      </c>
      <c r="C50">
        <v>2521.6155614852901</v>
      </c>
      <c r="D50">
        <v>3149.4037983417502</v>
      </c>
      <c r="F50">
        <v>8.8615417480468698E-3</v>
      </c>
      <c r="G50">
        <v>861.06171532099802</v>
      </c>
    </row>
    <row r="51" spans="1:7" x14ac:dyDescent="0.25">
      <c r="A51">
        <v>50</v>
      </c>
      <c r="C51">
        <v>2685.71052122116</v>
      </c>
      <c r="D51">
        <v>3183.6753487586898</v>
      </c>
      <c r="F51">
        <v>8.8996887207031198E-3</v>
      </c>
      <c r="G51">
        <v>900.18653968899798</v>
      </c>
    </row>
    <row r="52" spans="1:7" x14ac:dyDescent="0.25">
      <c r="A52">
        <v>51</v>
      </c>
      <c r="B52">
        <v>6.68661594390869E-2</v>
      </c>
      <c r="C52">
        <v>9.0063676834106392</v>
      </c>
      <c r="D52">
        <v>15.144894361495901</v>
      </c>
      <c r="E52">
        <v>26759.819811105699</v>
      </c>
      <c r="F52">
        <v>4.2831897735595703E-3</v>
      </c>
      <c r="G52">
        <v>6.8979874999058596E-2</v>
      </c>
    </row>
    <row r="53" spans="1:7" x14ac:dyDescent="0.25">
      <c r="A53">
        <v>52</v>
      </c>
      <c r="B53">
        <v>5.84690570831298E-2</v>
      </c>
      <c r="C53">
        <v>5.6918811798095703</v>
      </c>
      <c r="D53">
        <v>23.852615594863799</v>
      </c>
      <c r="E53">
        <v>86400.179282665194</v>
      </c>
      <c r="F53">
        <v>3.7240982055664002E-3</v>
      </c>
      <c r="G53">
        <v>0.30992430599872001</v>
      </c>
    </row>
    <row r="54" spans="1:7" x14ac:dyDescent="0.25">
      <c r="A54">
        <v>53</v>
      </c>
      <c r="B54">
        <v>2.0714759826660101E-2</v>
      </c>
      <c r="C54">
        <v>3.1399140357971098</v>
      </c>
      <c r="D54">
        <v>7.6340012550354004</v>
      </c>
      <c r="E54">
        <v>94.903298854827796</v>
      </c>
      <c r="F54">
        <v>3.6454200744628902E-3</v>
      </c>
      <c r="G54">
        <v>8.3373138000751995E-2</v>
      </c>
    </row>
    <row r="55" spans="1:7" x14ac:dyDescent="0.25">
      <c r="A55">
        <v>54</v>
      </c>
      <c r="B55">
        <v>3.0108928680419901E-2</v>
      </c>
      <c r="C55">
        <v>3.1323459148406898</v>
      </c>
      <c r="D55">
        <v>6.0626444816589302</v>
      </c>
      <c r="E55">
        <v>456.62761378288201</v>
      </c>
      <c r="F55">
        <v>3.5321712493896402E-3</v>
      </c>
      <c r="G55">
        <v>0.141709698997146</v>
      </c>
    </row>
    <row r="56" spans="1:7" x14ac:dyDescent="0.25">
      <c r="A56">
        <v>55</v>
      </c>
      <c r="B56">
        <v>6.2480211257934501E-2</v>
      </c>
      <c r="C56">
        <v>2.9986371994018501</v>
      </c>
      <c r="D56">
        <v>6.3127932548522896</v>
      </c>
      <c r="E56">
        <v>1248.4967966079701</v>
      </c>
      <c r="F56">
        <v>3.5791397094726502E-3</v>
      </c>
      <c r="G56">
        <v>0.115620651999051</v>
      </c>
    </row>
    <row r="57" spans="1:7" x14ac:dyDescent="0.25">
      <c r="A57">
        <v>56</v>
      </c>
      <c r="B57">
        <v>2.21915245056152E-2</v>
      </c>
      <c r="C57">
        <v>5.0207715034484801</v>
      </c>
      <c r="D57">
        <v>9.9536929130554199</v>
      </c>
      <c r="E57">
        <v>1258.4213848114</v>
      </c>
      <c r="F57">
        <v>3.4809112548828099E-3</v>
      </c>
      <c r="G57">
        <v>0.11564002800150699</v>
      </c>
    </row>
    <row r="58" spans="1:7" x14ac:dyDescent="0.25">
      <c r="A58">
        <v>57</v>
      </c>
      <c r="B58">
        <v>0.146340131759643</v>
      </c>
      <c r="C58">
        <v>6.3730485439300502</v>
      </c>
      <c r="D58">
        <v>13.852207660675001</v>
      </c>
      <c r="E58">
        <v>86400.153110742496</v>
      </c>
      <c r="F58">
        <v>3.5440921783447201E-3</v>
      </c>
      <c r="G58">
        <v>0.34710363799968003</v>
      </c>
    </row>
    <row r="59" spans="1:7" x14ac:dyDescent="0.25">
      <c r="A59">
        <v>58</v>
      </c>
      <c r="B59">
        <v>3.1080007553100499E-2</v>
      </c>
      <c r="C59">
        <v>3.35055232048034</v>
      </c>
      <c r="D59">
        <v>9.3668909072875906</v>
      </c>
      <c r="E59">
        <v>86400.115000963197</v>
      </c>
      <c r="F59">
        <v>3.5631656646728498E-3</v>
      </c>
      <c r="G59">
        <v>0.13160325300122999</v>
      </c>
    </row>
    <row r="60" spans="1:7" x14ac:dyDescent="0.25">
      <c r="A60">
        <v>59</v>
      </c>
      <c r="B60">
        <v>0.38172149658203097</v>
      </c>
      <c r="C60">
        <v>5.1801760196685702</v>
      </c>
      <c r="D60">
        <v>9.8184607028961093</v>
      </c>
      <c r="E60">
        <v>2838.11518716812</v>
      </c>
      <c r="F60">
        <v>3.4942626953125E-3</v>
      </c>
      <c r="G60">
        <v>0.28306325700032098</v>
      </c>
    </row>
    <row r="61" spans="1:7" x14ac:dyDescent="0.25">
      <c r="A61">
        <v>60</v>
      </c>
      <c r="B61">
        <v>4.34470176696777E-2</v>
      </c>
      <c r="C61">
        <v>4.0671200752258301</v>
      </c>
      <c r="D61">
        <v>12.3923120498657</v>
      </c>
      <c r="E61">
        <v>86400.285001039505</v>
      </c>
      <c r="F61">
        <v>3.8189888000488199E-3</v>
      </c>
      <c r="G61">
        <v>0.119071297998743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2E56-D6DB-4737-8110-EE60E6D884FF}">
  <dimension ref="A1:I61"/>
  <sheetViews>
    <sheetView topLeftCell="A34" workbookViewId="0">
      <selection activeCell="I52" sqref="I52:I61"/>
    </sheetView>
  </sheetViews>
  <sheetFormatPr defaultRowHeight="15" x14ac:dyDescent="0.25"/>
  <cols>
    <col min="1" max="1" width="13.5703125" customWidth="1"/>
    <col min="2" max="2" width="14.7109375" customWidth="1"/>
    <col min="3" max="3" width="10.7109375" customWidth="1"/>
    <col min="4" max="4" width="16.85546875" customWidth="1"/>
    <col min="7" max="7" width="13.5703125" customWidth="1"/>
    <col min="8" max="8" width="10.7109375" customWidth="1"/>
  </cols>
  <sheetData>
    <row r="1" spans="1:9" x14ac:dyDescent="0.25">
      <c r="A1" t="s">
        <v>0</v>
      </c>
      <c r="B1" t="s">
        <v>6</v>
      </c>
      <c r="C1" t="s">
        <v>16</v>
      </c>
      <c r="D1" t="s">
        <v>20</v>
      </c>
      <c r="E1" t="s">
        <v>211</v>
      </c>
      <c r="G1" t="s">
        <v>0</v>
      </c>
      <c r="H1" t="s">
        <v>16</v>
      </c>
      <c r="I1" t="s">
        <v>211</v>
      </c>
    </row>
    <row r="2" spans="1:9" x14ac:dyDescent="0.25">
      <c r="A2">
        <v>1</v>
      </c>
      <c r="B2">
        <v>16</v>
      </c>
      <c r="C2">
        <v>25</v>
      </c>
      <c r="D2">
        <v>16</v>
      </c>
      <c r="E2">
        <f>(Table13[[#This Row],[optimal_iqcp]]-Table13[[#This Row],[optimal_rollout]])/Table13[[#This Row],[optimal_iqcp]]</f>
        <v>0</v>
      </c>
      <c r="G2">
        <v>51</v>
      </c>
      <c r="H2">
        <v>20</v>
      </c>
      <c r="I2">
        <v>0</v>
      </c>
    </row>
    <row r="3" spans="1:9" x14ac:dyDescent="0.25">
      <c r="A3">
        <v>2</v>
      </c>
      <c r="B3">
        <v>20</v>
      </c>
      <c r="C3">
        <v>25</v>
      </c>
      <c r="D3">
        <v>20</v>
      </c>
      <c r="E3">
        <f>(Table13[[#This Row],[optimal_iqcp]]-Table13[[#This Row],[optimal_rollout]])/Table13[[#This Row],[optimal_iqcp]]</f>
        <v>0</v>
      </c>
      <c r="G3">
        <v>52</v>
      </c>
      <c r="H3">
        <v>20</v>
      </c>
      <c r="I3">
        <v>0</v>
      </c>
    </row>
    <row r="4" spans="1:9" x14ac:dyDescent="0.25">
      <c r="A4">
        <v>3</v>
      </c>
      <c r="B4">
        <v>21</v>
      </c>
      <c r="C4">
        <v>25</v>
      </c>
      <c r="D4">
        <v>21</v>
      </c>
      <c r="E4">
        <f>(Table13[[#This Row],[optimal_iqcp]]-Table13[[#This Row],[optimal_rollout]])/Table13[[#This Row],[optimal_iqcp]]</f>
        <v>0</v>
      </c>
      <c r="G4">
        <v>53</v>
      </c>
      <c r="H4">
        <v>20</v>
      </c>
      <c r="I4">
        <v>0</v>
      </c>
    </row>
    <row r="5" spans="1:9" x14ac:dyDescent="0.25">
      <c r="A5">
        <v>4</v>
      </c>
      <c r="B5">
        <v>18</v>
      </c>
      <c r="C5">
        <v>25</v>
      </c>
      <c r="D5">
        <v>17</v>
      </c>
      <c r="E5">
        <f>(Table13[[#This Row],[optimal_iqcp]]-Table13[[#This Row],[optimal_rollout]])/Table13[[#This Row],[optimal_iqcp]]</f>
        <v>5.5555555555555552E-2</v>
      </c>
      <c r="G5">
        <v>54</v>
      </c>
      <c r="H5">
        <v>20</v>
      </c>
      <c r="I5">
        <v>0</v>
      </c>
    </row>
    <row r="6" spans="1:9" x14ac:dyDescent="0.25">
      <c r="A6">
        <v>5</v>
      </c>
      <c r="B6">
        <v>22</v>
      </c>
      <c r="C6">
        <v>25</v>
      </c>
      <c r="D6">
        <v>22</v>
      </c>
      <c r="E6">
        <f>(Table13[[#This Row],[optimal_iqcp]]-Table13[[#This Row],[optimal_rollout]])/Table13[[#This Row],[optimal_iqcp]]</f>
        <v>0</v>
      </c>
      <c r="G6">
        <v>55</v>
      </c>
      <c r="H6">
        <v>20</v>
      </c>
      <c r="I6">
        <v>0</v>
      </c>
    </row>
    <row r="7" spans="1:9" x14ac:dyDescent="0.25">
      <c r="A7">
        <v>6</v>
      </c>
      <c r="B7">
        <v>19</v>
      </c>
      <c r="C7">
        <v>25</v>
      </c>
      <c r="D7">
        <v>19</v>
      </c>
      <c r="E7">
        <f>(Table13[[#This Row],[optimal_iqcp]]-Table13[[#This Row],[optimal_rollout]])/Table13[[#This Row],[optimal_iqcp]]</f>
        <v>0</v>
      </c>
      <c r="G7">
        <v>56</v>
      </c>
      <c r="H7">
        <v>20</v>
      </c>
      <c r="I7">
        <v>0</v>
      </c>
    </row>
    <row r="8" spans="1:9" x14ac:dyDescent="0.25">
      <c r="A8">
        <v>7</v>
      </c>
      <c r="B8">
        <v>18</v>
      </c>
      <c r="C8">
        <v>25</v>
      </c>
      <c r="D8">
        <v>18</v>
      </c>
      <c r="E8">
        <f>(Table13[[#This Row],[optimal_iqcp]]-Table13[[#This Row],[optimal_rollout]])/Table13[[#This Row],[optimal_iqcp]]</f>
        <v>0</v>
      </c>
      <c r="G8">
        <v>57</v>
      </c>
      <c r="H8">
        <v>20</v>
      </c>
      <c r="I8">
        <v>0</v>
      </c>
    </row>
    <row r="9" spans="1:9" x14ac:dyDescent="0.25">
      <c r="A9">
        <v>8</v>
      </c>
      <c r="B9">
        <v>19</v>
      </c>
      <c r="C9">
        <v>25</v>
      </c>
      <c r="D9">
        <v>19</v>
      </c>
      <c r="E9">
        <f>(Table13[[#This Row],[optimal_iqcp]]-Table13[[#This Row],[optimal_rollout]])/Table13[[#This Row],[optimal_iqcp]]</f>
        <v>0</v>
      </c>
      <c r="G9">
        <v>58</v>
      </c>
      <c r="H9">
        <v>20</v>
      </c>
      <c r="I9">
        <v>0</v>
      </c>
    </row>
    <row r="10" spans="1:9" x14ac:dyDescent="0.25">
      <c r="A10">
        <v>9</v>
      </c>
      <c r="B10">
        <v>18</v>
      </c>
      <c r="C10">
        <v>25</v>
      </c>
      <c r="D10">
        <v>18</v>
      </c>
      <c r="E10">
        <f>(Table13[[#This Row],[optimal_iqcp]]-Table13[[#This Row],[optimal_rollout]])/Table13[[#This Row],[optimal_iqcp]]</f>
        <v>0</v>
      </c>
      <c r="G10">
        <v>59</v>
      </c>
      <c r="H10">
        <v>20</v>
      </c>
      <c r="I10">
        <v>5.5555555555555552E-2</v>
      </c>
    </row>
    <row r="11" spans="1:9" x14ac:dyDescent="0.25">
      <c r="A11">
        <v>10</v>
      </c>
      <c r="B11">
        <v>20</v>
      </c>
      <c r="C11">
        <v>25</v>
      </c>
      <c r="D11">
        <v>20</v>
      </c>
      <c r="E11">
        <f>(Table13[[#This Row],[optimal_iqcp]]-Table13[[#This Row],[optimal_rollout]])/Table13[[#This Row],[optimal_iqcp]]</f>
        <v>0</v>
      </c>
      <c r="G11">
        <v>60</v>
      </c>
      <c r="H11">
        <v>20</v>
      </c>
      <c r="I11">
        <v>0</v>
      </c>
    </row>
    <row r="12" spans="1:9" x14ac:dyDescent="0.25">
      <c r="A12">
        <v>11</v>
      </c>
      <c r="B12">
        <v>36</v>
      </c>
      <c r="C12">
        <v>40</v>
      </c>
      <c r="D12">
        <v>36</v>
      </c>
      <c r="E12">
        <f>(Table13[[#This Row],[optimal_iqcp]]-Table13[[#This Row],[optimal_rollout]])/Table13[[#This Row],[optimal_iqcp]]</f>
        <v>0</v>
      </c>
      <c r="G12">
        <v>1</v>
      </c>
      <c r="H12">
        <v>25</v>
      </c>
      <c r="I12">
        <v>0</v>
      </c>
    </row>
    <row r="13" spans="1:9" x14ac:dyDescent="0.25">
      <c r="A13">
        <v>12</v>
      </c>
      <c r="B13">
        <v>36</v>
      </c>
      <c r="C13">
        <v>40</v>
      </c>
      <c r="D13">
        <v>36</v>
      </c>
      <c r="E13">
        <f>(Table13[[#This Row],[optimal_iqcp]]-Table13[[#This Row],[optimal_rollout]])/Table13[[#This Row],[optimal_iqcp]]</f>
        <v>0</v>
      </c>
      <c r="G13">
        <v>2</v>
      </c>
      <c r="H13">
        <v>25</v>
      </c>
      <c r="I13">
        <v>0</v>
      </c>
    </row>
    <row r="14" spans="1:9" x14ac:dyDescent="0.25">
      <c r="A14">
        <v>13</v>
      </c>
      <c r="B14">
        <v>38</v>
      </c>
      <c r="C14">
        <v>40</v>
      </c>
      <c r="D14">
        <v>38</v>
      </c>
      <c r="E14">
        <f>(Table13[[#This Row],[optimal_iqcp]]-Table13[[#This Row],[optimal_rollout]])/Table13[[#This Row],[optimal_iqcp]]</f>
        <v>0</v>
      </c>
      <c r="G14">
        <v>3</v>
      </c>
      <c r="H14">
        <v>25</v>
      </c>
      <c r="I14">
        <v>0</v>
      </c>
    </row>
    <row r="15" spans="1:9" x14ac:dyDescent="0.25">
      <c r="A15">
        <v>14</v>
      </c>
      <c r="B15">
        <v>39</v>
      </c>
      <c r="C15">
        <v>40</v>
      </c>
      <c r="D15">
        <v>39</v>
      </c>
      <c r="E15">
        <f>(Table13[[#This Row],[optimal_iqcp]]-Table13[[#This Row],[optimal_rollout]])/Table13[[#This Row],[optimal_iqcp]]</f>
        <v>0</v>
      </c>
      <c r="G15">
        <v>4</v>
      </c>
      <c r="H15">
        <v>25</v>
      </c>
      <c r="I15">
        <v>5.5555555555555552E-2</v>
      </c>
    </row>
    <row r="16" spans="1:9" x14ac:dyDescent="0.25">
      <c r="A16">
        <v>15</v>
      </c>
      <c r="B16">
        <v>36</v>
      </c>
      <c r="C16">
        <v>40</v>
      </c>
      <c r="D16">
        <v>36</v>
      </c>
      <c r="E16">
        <f>(Table13[[#This Row],[optimal_iqcp]]-Table13[[#This Row],[optimal_rollout]])/Table13[[#This Row],[optimal_iqcp]]</f>
        <v>0</v>
      </c>
      <c r="G16">
        <v>5</v>
      </c>
      <c r="H16">
        <v>25</v>
      </c>
      <c r="I16">
        <v>0</v>
      </c>
    </row>
    <row r="17" spans="1:9" x14ac:dyDescent="0.25">
      <c r="A17">
        <v>16</v>
      </c>
      <c r="B17">
        <v>34</v>
      </c>
      <c r="C17">
        <v>40</v>
      </c>
      <c r="D17">
        <v>34</v>
      </c>
      <c r="E17">
        <f>(Table13[[#This Row],[optimal_iqcp]]-Table13[[#This Row],[optimal_rollout]])/Table13[[#This Row],[optimal_iqcp]]</f>
        <v>0</v>
      </c>
      <c r="G17">
        <v>6</v>
      </c>
      <c r="H17">
        <v>25</v>
      </c>
      <c r="I17">
        <v>0</v>
      </c>
    </row>
    <row r="18" spans="1:9" x14ac:dyDescent="0.25">
      <c r="A18">
        <v>17</v>
      </c>
      <c r="B18">
        <v>36</v>
      </c>
      <c r="C18">
        <v>40</v>
      </c>
      <c r="D18">
        <v>36</v>
      </c>
      <c r="E18">
        <f>(Table13[[#This Row],[optimal_iqcp]]-Table13[[#This Row],[optimal_rollout]])/Table13[[#This Row],[optimal_iqcp]]</f>
        <v>0</v>
      </c>
      <c r="G18">
        <v>7</v>
      </c>
      <c r="H18">
        <v>25</v>
      </c>
      <c r="I18">
        <v>0</v>
      </c>
    </row>
    <row r="19" spans="1:9" x14ac:dyDescent="0.25">
      <c r="A19">
        <v>18</v>
      </c>
      <c r="B19">
        <v>38</v>
      </c>
      <c r="C19">
        <v>40</v>
      </c>
      <c r="D19">
        <v>38</v>
      </c>
      <c r="E19">
        <f>(Table13[[#This Row],[optimal_iqcp]]-Table13[[#This Row],[optimal_rollout]])/Table13[[#This Row],[optimal_iqcp]]</f>
        <v>0</v>
      </c>
      <c r="G19">
        <v>8</v>
      </c>
      <c r="H19">
        <v>25</v>
      </c>
      <c r="I19">
        <v>0</v>
      </c>
    </row>
    <row r="20" spans="1:9" x14ac:dyDescent="0.25">
      <c r="A20">
        <v>19</v>
      </c>
      <c r="B20">
        <v>34</v>
      </c>
      <c r="C20">
        <v>40</v>
      </c>
      <c r="D20">
        <v>34</v>
      </c>
      <c r="E20">
        <f>(Table13[[#This Row],[optimal_iqcp]]-Table13[[#This Row],[optimal_rollout]])/Table13[[#This Row],[optimal_iqcp]]</f>
        <v>0</v>
      </c>
      <c r="G20">
        <v>9</v>
      </c>
      <c r="H20">
        <v>25</v>
      </c>
      <c r="I20">
        <v>0</v>
      </c>
    </row>
    <row r="21" spans="1:9" x14ac:dyDescent="0.25">
      <c r="A21">
        <v>20</v>
      </c>
      <c r="B21">
        <v>36</v>
      </c>
      <c r="C21">
        <v>40</v>
      </c>
      <c r="D21">
        <v>36</v>
      </c>
      <c r="E21">
        <f>(Table13[[#This Row],[optimal_iqcp]]-Table13[[#This Row],[optimal_rollout]])/Table13[[#This Row],[optimal_iqcp]]</f>
        <v>0</v>
      </c>
      <c r="G21">
        <v>10</v>
      </c>
      <c r="H21">
        <v>25</v>
      </c>
      <c r="I21">
        <v>0</v>
      </c>
    </row>
    <row r="22" spans="1:9" x14ac:dyDescent="0.25">
      <c r="A22">
        <v>21</v>
      </c>
      <c r="B22">
        <v>46</v>
      </c>
      <c r="C22">
        <v>50</v>
      </c>
      <c r="D22">
        <v>46</v>
      </c>
      <c r="E22">
        <f>(Table13[[#This Row],[optimal_iqcp]]-Table13[[#This Row],[optimal_rollout]])/Table13[[#This Row],[optimal_iqcp]]</f>
        <v>0</v>
      </c>
      <c r="G22">
        <v>11</v>
      </c>
      <c r="H22">
        <v>40</v>
      </c>
      <c r="I22">
        <v>0</v>
      </c>
    </row>
    <row r="23" spans="1:9" x14ac:dyDescent="0.25">
      <c r="A23">
        <v>22</v>
      </c>
      <c r="B23">
        <v>49</v>
      </c>
      <c r="C23">
        <v>50</v>
      </c>
      <c r="D23">
        <v>49</v>
      </c>
      <c r="E23">
        <f>(Table13[[#This Row],[optimal_iqcp]]-Table13[[#This Row],[optimal_rollout]])/Table13[[#This Row],[optimal_iqcp]]</f>
        <v>0</v>
      </c>
      <c r="G23">
        <v>12</v>
      </c>
      <c r="H23">
        <v>40</v>
      </c>
      <c r="I23">
        <v>0</v>
      </c>
    </row>
    <row r="24" spans="1:9" x14ac:dyDescent="0.25">
      <c r="A24">
        <v>23</v>
      </c>
      <c r="B24">
        <v>48</v>
      </c>
      <c r="C24">
        <v>50</v>
      </c>
      <c r="D24">
        <v>48</v>
      </c>
      <c r="E24">
        <f>(Table13[[#This Row],[optimal_iqcp]]-Table13[[#This Row],[optimal_rollout]])/Table13[[#This Row],[optimal_iqcp]]</f>
        <v>0</v>
      </c>
      <c r="G24">
        <v>13</v>
      </c>
      <c r="H24">
        <v>40</v>
      </c>
      <c r="I24">
        <v>0</v>
      </c>
    </row>
    <row r="25" spans="1:9" x14ac:dyDescent="0.25">
      <c r="A25">
        <v>24</v>
      </c>
      <c r="B25">
        <v>48</v>
      </c>
      <c r="C25">
        <v>50</v>
      </c>
      <c r="D25">
        <v>48</v>
      </c>
      <c r="E25">
        <f>(Table13[[#This Row],[optimal_iqcp]]-Table13[[#This Row],[optimal_rollout]])/Table13[[#This Row],[optimal_iqcp]]</f>
        <v>0</v>
      </c>
      <c r="G25">
        <v>14</v>
      </c>
      <c r="H25">
        <v>40</v>
      </c>
      <c r="I25">
        <v>0</v>
      </c>
    </row>
    <row r="26" spans="1:9" x14ac:dyDescent="0.25">
      <c r="A26">
        <v>25</v>
      </c>
      <c r="B26">
        <v>44</v>
      </c>
      <c r="C26">
        <v>50</v>
      </c>
      <c r="D26">
        <v>44</v>
      </c>
      <c r="E26">
        <f>(Table13[[#This Row],[optimal_iqcp]]-Table13[[#This Row],[optimal_rollout]])/Table13[[#This Row],[optimal_iqcp]]</f>
        <v>0</v>
      </c>
      <c r="G26">
        <v>15</v>
      </c>
      <c r="H26">
        <v>40</v>
      </c>
      <c r="I26">
        <v>0</v>
      </c>
    </row>
    <row r="27" spans="1:9" x14ac:dyDescent="0.25">
      <c r="A27">
        <v>26</v>
      </c>
      <c r="B27">
        <v>45</v>
      </c>
      <c r="C27">
        <v>50</v>
      </c>
      <c r="D27">
        <v>45</v>
      </c>
      <c r="E27">
        <f>(Table13[[#This Row],[optimal_iqcp]]-Table13[[#This Row],[optimal_rollout]])/Table13[[#This Row],[optimal_iqcp]]</f>
        <v>0</v>
      </c>
      <c r="G27">
        <v>16</v>
      </c>
      <c r="H27">
        <v>40</v>
      </c>
      <c r="I27">
        <v>0</v>
      </c>
    </row>
    <row r="28" spans="1:9" x14ac:dyDescent="0.25">
      <c r="A28">
        <v>27</v>
      </c>
      <c r="B28">
        <v>46</v>
      </c>
      <c r="C28">
        <v>50</v>
      </c>
      <c r="D28">
        <v>46</v>
      </c>
      <c r="E28">
        <f>(Table13[[#This Row],[optimal_iqcp]]-Table13[[#This Row],[optimal_rollout]])/Table13[[#This Row],[optimal_iqcp]]</f>
        <v>0</v>
      </c>
      <c r="G28">
        <v>17</v>
      </c>
      <c r="H28">
        <v>40</v>
      </c>
      <c r="I28">
        <v>0</v>
      </c>
    </row>
    <row r="29" spans="1:9" x14ac:dyDescent="0.25">
      <c r="A29">
        <v>28</v>
      </c>
      <c r="B29">
        <v>47</v>
      </c>
      <c r="C29">
        <v>50</v>
      </c>
      <c r="D29">
        <v>46</v>
      </c>
      <c r="E29">
        <f>(Table13[[#This Row],[optimal_iqcp]]-Table13[[#This Row],[optimal_rollout]])/Table13[[#This Row],[optimal_iqcp]]</f>
        <v>2.1276595744680851E-2</v>
      </c>
      <c r="G29">
        <v>18</v>
      </c>
      <c r="H29">
        <v>40</v>
      </c>
      <c r="I29">
        <v>0</v>
      </c>
    </row>
    <row r="30" spans="1:9" x14ac:dyDescent="0.25">
      <c r="A30">
        <v>29</v>
      </c>
      <c r="B30">
        <v>47</v>
      </c>
      <c r="C30">
        <v>50</v>
      </c>
      <c r="D30">
        <v>47</v>
      </c>
      <c r="E30">
        <f>(Table13[[#This Row],[optimal_iqcp]]-Table13[[#This Row],[optimal_rollout]])/Table13[[#This Row],[optimal_iqcp]]</f>
        <v>0</v>
      </c>
      <c r="G30">
        <v>19</v>
      </c>
      <c r="H30">
        <v>40</v>
      </c>
      <c r="I30">
        <v>0</v>
      </c>
    </row>
    <row r="31" spans="1:9" x14ac:dyDescent="0.25">
      <c r="A31">
        <v>30</v>
      </c>
      <c r="B31">
        <v>44</v>
      </c>
      <c r="C31">
        <v>50</v>
      </c>
      <c r="D31">
        <v>44</v>
      </c>
      <c r="E31">
        <f>(Table13[[#This Row],[optimal_iqcp]]-Table13[[#This Row],[optimal_rollout]])/Table13[[#This Row],[optimal_iqcp]]</f>
        <v>0</v>
      </c>
      <c r="G31">
        <v>20</v>
      </c>
      <c r="H31">
        <v>40</v>
      </c>
      <c r="I31">
        <v>0</v>
      </c>
    </row>
    <row r="32" spans="1:9" x14ac:dyDescent="0.25">
      <c r="A32">
        <v>31</v>
      </c>
      <c r="B32">
        <v>71</v>
      </c>
      <c r="C32">
        <v>75</v>
      </c>
      <c r="D32">
        <v>71</v>
      </c>
      <c r="E32">
        <f>(Table13[[#This Row],[optimal_iqcp]]-Table13[[#This Row],[optimal_rollout]])/Table13[[#This Row],[optimal_iqcp]]</f>
        <v>0</v>
      </c>
      <c r="G32">
        <v>21</v>
      </c>
      <c r="H32">
        <v>50</v>
      </c>
      <c r="I32">
        <v>0</v>
      </c>
    </row>
    <row r="33" spans="1:9" x14ac:dyDescent="0.25">
      <c r="A33">
        <v>32</v>
      </c>
      <c r="B33">
        <v>71</v>
      </c>
      <c r="C33">
        <v>75</v>
      </c>
      <c r="D33">
        <v>71</v>
      </c>
      <c r="E33">
        <f>(Table13[[#This Row],[optimal_iqcp]]-Table13[[#This Row],[optimal_rollout]])/Table13[[#This Row],[optimal_iqcp]]</f>
        <v>0</v>
      </c>
      <c r="G33">
        <v>22</v>
      </c>
      <c r="H33">
        <v>50</v>
      </c>
      <c r="I33">
        <v>0</v>
      </c>
    </row>
    <row r="34" spans="1:9" x14ac:dyDescent="0.25">
      <c r="A34">
        <v>33</v>
      </c>
      <c r="B34">
        <v>72</v>
      </c>
      <c r="C34">
        <v>75</v>
      </c>
      <c r="D34">
        <v>72</v>
      </c>
      <c r="E34">
        <f>(Table13[[#This Row],[optimal_iqcp]]-Table13[[#This Row],[optimal_rollout]])/Table13[[#This Row],[optimal_iqcp]]</f>
        <v>0</v>
      </c>
      <c r="G34">
        <v>23</v>
      </c>
      <c r="H34">
        <v>50</v>
      </c>
      <c r="I34">
        <v>0</v>
      </c>
    </row>
    <row r="35" spans="1:9" x14ac:dyDescent="0.25">
      <c r="A35">
        <v>34</v>
      </c>
      <c r="B35">
        <v>74</v>
      </c>
      <c r="C35">
        <v>75</v>
      </c>
      <c r="D35">
        <v>74</v>
      </c>
      <c r="E35">
        <f>(Table13[[#This Row],[optimal_iqcp]]-Table13[[#This Row],[optimal_rollout]])/Table13[[#This Row],[optimal_iqcp]]</f>
        <v>0</v>
      </c>
      <c r="G35">
        <v>24</v>
      </c>
      <c r="H35">
        <v>50</v>
      </c>
      <c r="I35">
        <v>0</v>
      </c>
    </row>
    <row r="36" spans="1:9" x14ac:dyDescent="0.25">
      <c r="A36">
        <v>35</v>
      </c>
      <c r="B36">
        <v>71</v>
      </c>
      <c r="C36">
        <v>75</v>
      </c>
      <c r="D36">
        <v>71</v>
      </c>
      <c r="E36">
        <f>(Table13[[#This Row],[optimal_iqcp]]-Table13[[#This Row],[optimal_rollout]])/Table13[[#This Row],[optimal_iqcp]]</f>
        <v>0</v>
      </c>
      <c r="G36">
        <v>25</v>
      </c>
      <c r="H36">
        <v>50</v>
      </c>
      <c r="I36">
        <v>0</v>
      </c>
    </row>
    <row r="37" spans="1:9" x14ac:dyDescent="0.25">
      <c r="A37">
        <v>36</v>
      </c>
      <c r="B37">
        <v>65</v>
      </c>
      <c r="C37">
        <v>75</v>
      </c>
      <c r="D37">
        <v>65</v>
      </c>
      <c r="E37">
        <f>(Table13[[#This Row],[optimal_iqcp]]-Table13[[#This Row],[optimal_rollout]])/Table13[[#This Row],[optimal_iqcp]]</f>
        <v>0</v>
      </c>
      <c r="G37">
        <v>26</v>
      </c>
      <c r="H37">
        <v>50</v>
      </c>
      <c r="I37">
        <v>0</v>
      </c>
    </row>
    <row r="38" spans="1:9" x14ac:dyDescent="0.25">
      <c r="A38">
        <v>37</v>
      </c>
      <c r="B38">
        <v>69</v>
      </c>
      <c r="C38">
        <v>75</v>
      </c>
      <c r="D38">
        <v>69</v>
      </c>
      <c r="E38">
        <f>(Table13[[#This Row],[optimal_iqcp]]-Table13[[#This Row],[optimal_rollout]])/Table13[[#This Row],[optimal_iqcp]]</f>
        <v>0</v>
      </c>
      <c r="G38">
        <v>27</v>
      </c>
      <c r="H38">
        <v>50</v>
      </c>
      <c r="I38">
        <v>0</v>
      </c>
    </row>
    <row r="39" spans="1:9" x14ac:dyDescent="0.25">
      <c r="A39">
        <v>38</v>
      </c>
      <c r="B39">
        <v>73</v>
      </c>
      <c r="C39">
        <v>75</v>
      </c>
      <c r="D39">
        <v>73</v>
      </c>
      <c r="E39">
        <f>(Table13[[#This Row],[optimal_iqcp]]-Table13[[#This Row],[optimal_rollout]])/Table13[[#This Row],[optimal_iqcp]]</f>
        <v>0</v>
      </c>
      <c r="G39">
        <v>28</v>
      </c>
      <c r="H39">
        <v>50</v>
      </c>
      <c r="I39">
        <v>2.1276595744680851E-2</v>
      </c>
    </row>
    <row r="40" spans="1:9" x14ac:dyDescent="0.25">
      <c r="A40">
        <v>39</v>
      </c>
      <c r="B40">
        <v>69</v>
      </c>
      <c r="C40">
        <v>75</v>
      </c>
      <c r="D40">
        <v>69</v>
      </c>
      <c r="E40">
        <f>(Table13[[#This Row],[optimal_iqcp]]-Table13[[#This Row],[optimal_rollout]])/Table13[[#This Row],[optimal_iqcp]]</f>
        <v>0</v>
      </c>
      <c r="G40">
        <v>29</v>
      </c>
      <c r="H40">
        <v>50</v>
      </c>
      <c r="I40">
        <v>0</v>
      </c>
    </row>
    <row r="41" spans="1:9" x14ac:dyDescent="0.25">
      <c r="A41">
        <v>40</v>
      </c>
      <c r="B41">
        <v>69</v>
      </c>
      <c r="C41">
        <v>75</v>
      </c>
      <c r="D41">
        <v>68</v>
      </c>
      <c r="E41">
        <f>(Table13[[#This Row],[optimal_iqcp]]-Table13[[#This Row],[optimal_rollout]])/Table13[[#This Row],[optimal_iqcp]]</f>
        <v>1.4492753623188406E-2</v>
      </c>
      <c r="G41">
        <v>30</v>
      </c>
      <c r="H41">
        <v>50</v>
      </c>
      <c r="I41">
        <v>0</v>
      </c>
    </row>
    <row r="42" spans="1:9" x14ac:dyDescent="0.25">
      <c r="A42">
        <v>41</v>
      </c>
      <c r="B42">
        <v>99</v>
      </c>
      <c r="C42">
        <v>100</v>
      </c>
      <c r="D42">
        <v>99</v>
      </c>
      <c r="E42">
        <f>(Table13[[#This Row],[optimal_iqcp]]-Table13[[#This Row],[optimal_rollout]])/Table13[[#This Row],[optimal_iqcp]]</f>
        <v>0</v>
      </c>
      <c r="G42">
        <v>31</v>
      </c>
      <c r="H42">
        <v>75</v>
      </c>
      <c r="I42">
        <v>0</v>
      </c>
    </row>
    <row r="43" spans="1:9" x14ac:dyDescent="0.25">
      <c r="A43">
        <v>42</v>
      </c>
      <c r="B43">
        <v>97</v>
      </c>
      <c r="C43">
        <v>100</v>
      </c>
      <c r="D43">
        <v>97</v>
      </c>
      <c r="E43">
        <f>(Table13[[#This Row],[optimal_iqcp]]-Table13[[#This Row],[optimal_rollout]])/Table13[[#This Row],[optimal_iqcp]]</f>
        <v>0</v>
      </c>
      <c r="G43">
        <v>32</v>
      </c>
      <c r="H43">
        <v>75</v>
      </c>
      <c r="I43">
        <v>0</v>
      </c>
    </row>
    <row r="44" spans="1:9" x14ac:dyDescent="0.25">
      <c r="A44">
        <v>43</v>
      </c>
      <c r="B44">
        <v>96</v>
      </c>
      <c r="C44">
        <v>100</v>
      </c>
      <c r="D44">
        <v>96</v>
      </c>
      <c r="E44">
        <f>(Table13[[#This Row],[optimal_iqcp]]-Table13[[#This Row],[optimal_rollout]])/Table13[[#This Row],[optimal_iqcp]]</f>
        <v>0</v>
      </c>
      <c r="G44">
        <v>33</v>
      </c>
      <c r="H44">
        <v>75</v>
      </c>
      <c r="I44">
        <v>0</v>
      </c>
    </row>
    <row r="45" spans="1:9" x14ac:dyDescent="0.25">
      <c r="A45">
        <v>44</v>
      </c>
      <c r="B45">
        <v>98</v>
      </c>
      <c r="C45">
        <v>100</v>
      </c>
      <c r="D45">
        <v>98</v>
      </c>
      <c r="E45">
        <f>(Table13[[#This Row],[optimal_iqcp]]-Table13[[#This Row],[optimal_rollout]])/Table13[[#This Row],[optimal_iqcp]]</f>
        <v>0</v>
      </c>
      <c r="G45">
        <v>34</v>
      </c>
      <c r="H45">
        <v>75</v>
      </c>
      <c r="I45">
        <v>0</v>
      </c>
    </row>
    <row r="46" spans="1:9" x14ac:dyDescent="0.25">
      <c r="A46">
        <v>45</v>
      </c>
      <c r="B46">
        <v>95</v>
      </c>
      <c r="C46">
        <v>100</v>
      </c>
      <c r="D46">
        <v>95</v>
      </c>
      <c r="E46">
        <f>(Table13[[#This Row],[optimal_iqcp]]-Table13[[#This Row],[optimal_rollout]])/Table13[[#This Row],[optimal_iqcp]]</f>
        <v>0</v>
      </c>
      <c r="G46">
        <v>35</v>
      </c>
      <c r="H46">
        <v>75</v>
      </c>
      <c r="I46">
        <v>0</v>
      </c>
    </row>
    <row r="47" spans="1:9" x14ac:dyDescent="0.25">
      <c r="A47">
        <v>46</v>
      </c>
      <c r="B47">
        <v>94</v>
      </c>
      <c r="C47">
        <v>100</v>
      </c>
      <c r="D47">
        <v>93</v>
      </c>
      <c r="E47">
        <f>(Table13[[#This Row],[optimal_iqcp]]-Table13[[#This Row],[optimal_rollout]])/Table13[[#This Row],[optimal_iqcp]]</f>
        <v>1.0638297872340425E-2</v>
      </c>
      <c r="G47">
        <v>36</v>
      </c>
      <c r="H47">
        <v>75</v>
      </c>
      <c r="I47">
        <v>0</v>
      </c>
    </row>
    <row r="48" spans="1:9" x14ac:dyDescent="0.25">
      <c r="A48">
        <v>47</v>
      </c>
      <c r="B48">
        <v>97</v>
      </c>
      <c r="C48">
        <v>100</v>
      </c>
      <c r="D48">
        <v>97</v>
      </c>
      <c r="E48">
        <f>(Table13[[#This Row],[optimal_iqcp]]-Table13[[#This Row],[optimal_rollout]])/Table13[[#This Row],[optimal_iqcp]]</f>
        <v>0</v>
      </c>
      <c r="G48">
        <v>37</v>
      </c>
      <c r="H48">
        <v>75</v>
      </c>
      <c r="I48">
        <v>0</v>
      </c>
    </row>
    <row r="49" spans="1:9" x14ac:dyDescent="0.25">
      <c r="A49">
        <v>48</v>
      </c>
      <c r="B49">
        <v>89</v>
      </c>
      <c r="C49">
        <v>100</v>
      </c>
      <c r="D49">
        <v>89</v>
      </c>
      <c r="E49">
        <f>(Table13[[#This Row],[optimal_iqcp]]-Table13[[#This Row],[optimal_rollout]])/Table13[[#This Row],[optimal_iqcp]]</f>
        <v>0</v>
      </c>
      <c r="G49">
        <v>38</v>
      </c>
      <c r="H49">
        <v>75</v>
      </c>
      <c r="I49">
        <v>0</v>
      </c>
    </row>
    <row r="50" spans="1:9" x14ac:dyDescent="0.25">
      <c r="A50">
        <v>49</v>
      </c>
      <c r="B50">
        <v>98</v>
      </c>
      <c r="C50">
        <v>100</v>
      </c>
      <c r="D50">
        <v>98</v>
      </c>
      <c r="E50">
        <f>(Table13[[#This Row],[optimal_iqcp]]-Table13[[#This Row],[optimal_rollout]])/Table13[[#This Row],[optimal_iqcp]]</f>
        <v>0</v>
      </c>
      <c r="G50">
        <v>39</v>
      </c>
      <c r="H50">
        <v>75</v>
      </c>
      <c r="I50">
        <v>0</v>
      </c>
    </row>
    <row r="51" spans="1:9" x14ac:dyDescent="0.25">
      <c r="A51">
        <v>50</v>
      </c>
      <c r="B51">
        <v>96</v>
      </c>
      <c r="C51">
        <v>100</v>
      </c>
      <c r="D51">
        <v>96</v>
      </c>
      <c r="E51">
        <f>(Table13[[#This Row],[optimal_iqcp]]-Table13[[#This Row],[optimal_rollout]])/Table13[[#This Row],[optimal_iqcp]]</f>
        <v>0</v>
      </c>
      <c r="G51">
        <v>40</v>
      </c>
      <c r="H51">
        <v>75</v>
      </c>
      <c r="I51">
        <v>1.4492753623188406E-2</v>
      </c>
    </row>
    <row r="52" spans="1:9" x14ac:dyDescent="0.25">
      <c r="A52">
        <v>51</v>
      </c>
      <c r="B52">
        <v>11</v>
      </c>
      <c r="C52">
        <v>20</v>
      </c>
      <c r="D52">
        <v>11</v>
      </c>
      <c r="E52">
        <f>(Table13[[#This Row],[optimal_iqcp]]-Table13[[#This Row],[optimal_rollout]])/Table13[[#This Row],[optimal_iqcp]]</f>
        <v>0</v>
      </c>
      <c r="G52">
        <v>41</v>
      </c>
      <c r="H52">
        <v>100</v>
      </c>
      <c r="I52">
        <v>0</v>
      </c>
    </row>
    <row r="53" spans="1:9" x14ac:dyDescent="0.25">
      <c r="A53">
        <v>52</v>
      </c>
      <c r="B53">
        <v>15</v>
      </c>
      <c r="C53">
        <v>20</v>
      </c>
      <c r="D53">
        <v>15</v>
      </c>
      <c r="E53">
        <f>(Table13[[#This Row],[optimal_iqcp]]-Table13[[#This Row],[optimal_rollout]])/Table13[[#This Row],[optimal_iqcp]]</f>
        <v>0</v>
      </c>
      <c r="G53">
        <v>42</v>
      </c>
      <c r="H53">
        <v>100</v>
      </c>
      <c r="I53">
        <v>0</v>
      </c>
    </row>
    <row r="54" spans="1:9" x14ac:dyDescent="0.25">
      <c r="A54">
        <v>53</v>
      </c>
      <c r="B54">
        <v>15</v>
      </c>
      <c r="C54">
        <v>20</v>
      </c>
      <c r="D54">
        <v>15</v>
      </c>
      <c r="E54">
        <f>(Table13[[#This Row],[optimal_iqcp]]-Table13[[#This Row],[optimal_rollout]])/Table13[[#This Row],[optimal_iqcp]]</f>
        <v>0</v>
      </c>
      <c r="G54">
        <v>43</v>
      </c>
      <c r="H54">
        <v>100</v>
      </c>
      <c r="I54">
        <v>0</v>
      </c>
    </row>
    <row r="55" spans="1:9" x14ac:dyDescent="0.25">
      <c r="A55">
        <v>54</v>
      </c>
      <c r="B55">
        <v>15</v>
      </c>
      <c r="C55">
        <v>20</v>
      </c>
      <c r="D55">
        <v>15</v>
      </c>
      <c r="E55">
        <f>(Table13[[#This Row],[optimal_iqcp]]-Table13[[#This Row],[optimal_rollout]])/Table13[[#This Row],[optimal_iqcp]]</f>
        <v>0</v>
      </c>
      <c r="G55">
        <v>44</v>
      </c>
      <c r="H55">
        <v>100</v>
      </c>
      <c r="I55">
        <v>0</v>
      </c>
    </row>
    <row r="56" spans="1:9" x14ac:dyDescent="0.25">
      <c r="A56">
        <v>55</v>
      </c>
      <c r="B56">
        <v>15</v>
      </c>
      <c r="C56">
        <v>20</v>
      </c>
      <c r="D56">
        <v>15</v>
      </c>
      <c r="E56">
        <f>(Table13[[#This Row],[optimal_iqcp]]-Table13[[#This Row],[optimal_rollout]])/Table13[[#This Row],[optimal_iqcp]]</f>
        <v>0</v>
      </c>
      <c r="G56">
        <v>45</v>
      </c>
      <c r="H56">
        <v>100</v>
      </c>
      <c r="I56">
        <v>0</v>
      </c>
    </row>
    <row r="57" spans="1:9" x14ac:dyDescent="0.25">
      <c r="A57">
        <v>56</v>
      </c>
      <c r="B57">
        <v>12</v>
      </c>
      <c r="C57">
        <v>20</v>
      </c>
      <c r="D57">
        <v>12</v>
      </c>
      <c r="E57">
        <f>(Table13[[#This Row],[optimal_iqcp]]-Table13[[#This Row],[optimal_rollout]])/Table13[[#This Row],[optimal_iqcp]]</f>
        <v>0</v>
      </c>
      <c r="G57">
        <v>46</v>
      </c>
      <c r="H57">
        <v>100</v>
      </c>
      <c r="I57">
        <v>1.0638297872340425E-2</v>
      </c>
    </row>
    <row r="58" spans="1:9" x14ac:dyDescent="0.25">
      <c r="A58">
        <v>57</v>
      </c>
      <c r="B58">
        <v>16</v>
      </c>
      <c r="C58">
        <v>20</v>
      </c>
      <c r="D58">
        <v>16</v>
      </c>
      <c r="E58">
        <f>(Table13[[#This Row],[optimal_iqcp]]-Table13[[#This Row],[optimal_rollout]])/Table13[[#This Row],[optimal_iqcp]]</f>
        <v>0</v>
      </c>
      <c r="G58">
        <v>47</v>
      </c>
      <c r="H58">
        <v>100</v>
      </c>
      <c r="I58">
        <v>0</v>
      </c>
    </row>
    <row r="59" spans="1:9" x14ac:dyDescent="0.25">
      <c r="A59">
        <v>58</v>
      </c>
      <c r="B59">
        <v>14</v>
      </c>
      <c r="C59">
        <v>20</v>
      </c>
      <c r="D59">
        <v>14</v>
      </c>
      <c r="E59">
        <f>(Table13[[#This Row],[optimal_iqcp]]-Table13[[#This Row],[optimal_rollout]])/Table13[[#This Row],[optimal_iqcp]]</f>
        <v>0</v>
      </c>
      <c r="G59">
        <v>48</v>
      </c>
      <c r="H59">
        <v>100</v>
      </c>
      <c r="I59">
        <v>0</v>
      </c>
    </row>
    <row r="60" spans="1:9" x14ac:dyDescent="0.25">
      <c r="A60">
        <v>59</v>
      </c>
      <c r="B60">
        <v>18</v>
      </c>
      <c r="C60">
        <v>20</v>
      </c>
      <c r="D60">
        <v>17</v>
      </c>
      <c r="E60">
        <f>(Table13[[#This Row],[optimal_iqcp]]-Table13[[#This Row],[optimal_rollout]])/Table13[[#This Row],[optimal_iqcp]]</f>
        <v>5.5555555555555552E-2</v>
      </c>
      <c r="G60">
        <v>49</v>
      </c>
      <c r="H60">
        <v>100</v>
      </c>
      <c r="I60">
        <v>0</v>
      </c>
    </row>
    <row r="61" spans="1:9" x14ac:dyDescent="0.25">
      <c r="A61">
        <v>60</v>
      </c>
      <c r="B61">
        <v>16</v>
      </c>
      <c r="C61">
        <v>20</v>
      </c>
      <c r="D61">
        <v>16</v>
      </c>
      <c r="E61">
        <f>(Table13[[#This Row],[optimal_iqcp]]-Table13[[#This Row],[optimal_rollout]])/Table13[[#This Row],[optimal_iqcp]]</f>
        <v>0</v>
      </c>
      <c r="G61">
        <v>50</v>
      </c>
      <c r="H61">
        <v>100</v>
      </c>
      <c r="I61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4321-63B2-4477-AABD-79EA8B68D3DA}">
  <dimension ref="A1:F11"/>
  <sheetViews>
    <sheetView tabSelected="1" workbookViewId="0">
      <selection activeCell="J21" sqref="J21"/>
    </sheetView>
  </sheetViews>
  <sheetFormatPr defaultRowHeight="15" x14ac:dyDescent="0.25"/>
  <sheetData>
    <row r="1" spans="1:6" x14ac:dyDescent="0.25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</row>
    <row r="2" spans="1:6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s="3">
        <v>0</v>
      </c>
      <c r="B5" s="3">
        <v>5.5555555555555552E-2</v>
      </c>
      <c r="C5" s="3">
        <v>0</v>
      </c>
      <c r="D5" s="3">
        <v>0</v>
      </c>
      <c r="E5" s="3">
        <v>0</v>
      </c>
      <c r="F5" s="3">
        <v>0</v>
      </c>
    </row>
    <row r="6" spans="1:6" x14ac:dyDescent="0.2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s="3">
        <v>0</v>
      </c>
      <c r="B7" s="3">
        <v>0</v>
      </c>
      <c r="C7" s="3">
        <v>0</v>
      </c>
      <c r="D7" s="3">
        <v>0</v>
      </c>
      <c r="E7" s="3">
        <v>0</v>
      </c>
      <c r="F7" s="3">
        <v>1.0638297872340425E-2</v>
      </c>
    </row>
    <row r="8" spans="1:6" x14ac:dyDescent="0.2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5">
      <c r="A9" s="3">
        <v>0</v>
      </c>
      <c r="B9" s="3">
        <v>0</v>
      </c>
      <c r="C9" s="3">
        <v>0</v>
      </c>
      <c r="D9" s="3">
        <v>2.1276595744680851E-2</v>
      </c>
      <c r="E9" s="3">
        <v>0</v>
      </c>
      <c r="F9" s="3">
        <v>0</v>
      </c>
    </row>
    <row r="10" spans="1:6" x14ac:dyDescent="0.25">
      <c r="A10" s="2">
        <v>5.5555555555555552E-2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s="4">
        <v>0</v>
      </c>
      <c r="B11" s="4">
        <v>0</v>
      </c>
      <c r="C11" s="4">
        <v>0</v>
      </c>
      <c r="D11" s="4">
        <v>0</v>
      </c>
      <c r="E11" s="4">
        <v>1.4492753623188406E-2</v>
      </c>
      <c r="F11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compare_results_3_nodes</vt:lpstr>
      <vt:lpstr>solutions</vt:lpstr>
      <vt:lpstr>optimos</vt:lpstr>
      <vt:lpstr>duracion</vt:lpstr>
      <vt:lpstr>compare_results_3_nodes (2)</vt:lpstr>
      <vt:lpstr>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Getsemani Villegas Gomez</cp:lastModifiedBy>
  <dcterms:created xsi:type="dcterms:W3CDTF">2026-03-03T03:08:41Z</dcterms:created>
  <dcterms:modified xsi:type="dcterms:W3CDTF">2026-06-16T02:13:20Z</dcterms:modified>
</cp:coreProperties>
</file>